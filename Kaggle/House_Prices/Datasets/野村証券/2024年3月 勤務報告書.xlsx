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B347B7D6-7246-46B5-B9CA-F718BB10C732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47" i="58" l="1"/>
  <c r="V46" i="58"/>
  <c r="V45" i="58"/>
  <c r="V44" i="58"/>
  <c r="V40" i="58"/>
  <c r="V38" i="58"/>
  <c r="V37" i="58"/>
  <c r="V34" i="58"/>
  <c r="V33" i="58"/>
  <c r="V32" i="58"/>
  <c r="V31" i="58"/>
  <c r="V30" i="58"/>
  <c r="V27" i="58"/>
  <c r="V26" i="58"/>
  <c r="V25" i="58"/>
  <c r="V24" i="58"/>
  <c r="V23" i="58"/>
  <c r="V20" i="58"/>
  <c r="U48" i="58"/>
  <c r="U47" i="58"/>
  <c r="U46" i="58"/>
  <c r="U45" i="58"/>
  <c r="U44" i="58"/>
  <c r="U40" i="58"/>
  <c r="U38" i="58"/>
  <c r="U37" i="58"/>
  <c r="U34" i="58"/>
  <c r="U33" i="58"/>
  <c r="U32" i="58"/>
  <c r="U31" i="58"/>
  <c r="U30" i="58"/>
  <c r="U27" i="58"/>
  <c r="U26" i="58"/>
  <c r="U25" i="58"/>
  <c r="U24" i="58"/>
  <c r="U23" i="58"/>
  <c r="T47" i="58"/>
  <c r="T46" i="58"/>
  <c r="T45" i="58"/>
  <c r="T44" i="58"/>
  <c r="T40" i="58"/>
  <c r="T38" i="58"/>
  <c r="T37" i="58"/>
  <c r="T34" i="58"/>
  <c r="T33" i="58"/>
  <c r="T32" i="58"/>
  <c r="T31" i="58"/>
  <c r="T30" i="58"/>
  <c r="T27" i="58"/>
  <c r="T26" i="58"/>
  <c r="T25" i="58"/>
  <c r="T24" i="58"/>
  <c r="T23" i="58"/>
  <c r="T20" i="58"/>
  <c r="K47" i="58"/>
  <c r="K46" i="58"/>
  <c r="K45" i="58"/>
  <c r="K44" i="58"/>
  <c r="K40" i="58"/>
  <c r="K38" i="58"/>
  <c r="K37" i="58"/>
  <c r="K34" i="58"/>
  <c r="K33" i="58"/>
  <c r="K32" i="58"/>
  <c r="K31" i="58"/>
  <c r="K30" i="58"/>
  <c r="K27" i="58"/>
  <c r="K26" i="58"/>
  <c r="K25" i="58"/>
  <c r="K24" i="58"/>
  <c r="K23" i="58"/>
  <c r="K20" i="58"/>
  <c r="J48" i="58"/>
  <c r="J47" i="58"/>
  <c r="J46" i="58"/>
  <c r="J45" i="58"/>
  <c r="J44" i="58"/>
  <c r="J40" i="58"/>
  <c r="J38" i="58"/>
  <c r="J37" i="58"/>
  <c r="J34" i="58"/>
  <c r="J33" i="58"/>
  <c r="J32" i="58"/>
  <c r="J31" i="58"/>
  <c r="J30" i="58"/>
  <c r="J27" i="58"/>
  <c r="J26" i="58"/>
  <c r="J25" i="58"/>
  <c r="J24" i="58"/>
  <c r="J23" i="58"/>
  <c r="U20" i="58"/>
  <c r="T48" i="58"/>
  <c r="K48" i="58"/>
  <c r="J20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V48" i="58" l="1"/>
  <c r="V21" i="67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W33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W49" i="58"/>
  <c r="R2" i="69"/>
  <c r="W32" i="58"/>
  <c r="W26" i="58"/>
  <c r="W34" i="58"/>
  <c r="W40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4" i="58"/>
  <c r="W45" i="58"/>
  <c r="W38" i="58"/>
  <c r="W37" i="58"/>
  <c r="W29" i="58"/>
  <c r="W30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2" i="58"/>
  <c r="A42" i="58" s="1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D43" i="58"/>
  <c r="C44" i="58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4" i="58"/>
  <c r="A44" i="58" s="1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D45" i="58"/>
  <c r="A45" i="58" s="1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D49" i="58"/>
  <c r="A49" i="58" s="1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<sst xmlns="http://schemas.openxmlformats.org/spreadsheetml/2006/main" count="1661" uniqueCount="131">
  <si>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</si>
  <si>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</si>
  <si>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</si>
  <si>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</si>
  <si>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</si>
  <si>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</si>
  <si>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</si>
  <si>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</si>
  <si>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</si>
  <si>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</si>
  <si>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</si>
  <si>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</si>
  <si>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</si>
  <si>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</si>
  <si>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</si>
  <si>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</si>
  <si>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</si>
  <si>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</si>
  <si>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</si>
  <si>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</si>
  <si>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</si>
  <si>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</si>
  <si>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</si>
  <si>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</si>
  <si>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</si>
  <si>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</si>
  <si>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</si>
  <si>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</si>
  <si>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</si>
  <si>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</si>
  <si>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</si>
  <si>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</si>
  <si>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</si>
  <si>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</si>
  <si>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</si>
  <si>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</si>
  <si>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</si>
  <si>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</si>
  <si>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</si>
  <si>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</si>
  <si>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</si>
  <si>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</si>
  <si>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</si>
  <si>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</si>
  <si>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</si>
  <si>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</si>
  <si>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</si>
  <si>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</si>
  <si>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</si>
  <si>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</si>
  <si>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</si>
  <si>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</si>
  <si>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</si>
  <si>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</si>
  <si>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</si>
  <si>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</si>
  <si>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</si>
  <si>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</si>
  <si>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</si>
  <si>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</si>
  <si>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</si>
  <si>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</si>
  <si>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</si>
  <si>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</si>
  <si>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</si>
  <si>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</si>
  <si>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</si>
  <si>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</si>
  <si>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</si>
  <si>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</si>
  <si>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</si>
  <si>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</si>
  <si>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</si>
  <si>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</si>
  <si>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</si>
  <si>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</si>
  <si>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</si>
  <si>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</si>
  <si>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</si>
  <si>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</si>
  <si>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</si>
  <si>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</si>
  <si>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</si>
  <si>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</si>
  <si>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</si>
  <si>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</si>
  <si>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</si>
  <si>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</si>
  <si>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</si>
  <si>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</si>
  <si>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</si>
  <si>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</si>
  <si>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</si>
  <si>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</si>
  <si>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</si>
  <si>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</si>
  <si>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</si>
  <si>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</si>
  <si>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</si>
  <si>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</si>
  <si>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</si>
  <si>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</si>
  <si>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</si>
  <si>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</si>
  <si>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</si>
  <si>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</si>
  <si>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</si>
  <si>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</si>
  <si>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</si>
  <si>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</si>
  <si>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</si>
  <si>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</si>
  <si>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</si>
  <si>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</si>
  <si>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</si>
  <si>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</si>
  <si>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</si>
  <si>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</si>
  <si>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</si>
  <si>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</si>
  <si>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</si>
  <si>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12:00~13:00</t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</si>
  <si>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</si>
  <si>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</si>
  <si>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</si>
  <si>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</si>
  <si>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</si>
  <si>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</si>
  <si>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東京都千代田区大手町2-2-2アーバンネット大手町ビル</t>
    <phoneticPr fontId="22"/>
  </si>
  <si>
    <t>03-3211-1811</t>
    <phoneticPr fontId="22"/>
  </si>
  <si>
    <t>有給</t>
    <rPh sb="0" eb="2">
      <t>ユウキュウ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</si>
</sst>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4" fillId="0" borderId="30" xfId="0" applyFont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top"/>
    </xf>
    <xf numFmtId="0" fontId="21" fillId="0" borderId="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5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5" fillId="3" borderId="1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 wrapText="1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2023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'11月'!R2+1</f>
        <v>7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44743</v>
      </c>
      <c r="D20" s="100" t="str">
        <f t="shared" ref="D20:D50" si="1">TEXT(C20,"aaa")</f>
        <v>金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44744</v>
      </c>
      <c r="D21" s="100" t="str">
        <f t="shared" si="1"/>
        <v>土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44745</v>
      </c>
      <c r="D22" s="100" t="str">
        <f t="shared" si="1"/>
        <v>日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44746</v>
      </c>
      <c r="D23" s="100" t="str">
        <f t="shared" si="1"/>
        <v>月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44747</v>
      </c>
      <c r="D24" s="100" t="str">
        <f t="shared" si="1"/>
        <v>火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44748</v>
      </c>
      <c r="D25" s="100" t="str">
        <f t="shared" si="1"/>
        <v>水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44749</v>
      </c>
      <c r="D26" s="100" t="str">
        <f t="shared" si="1"/>
        <v>木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44750</v>
      </c>
      <c r="D27" s="100" t="str">
        <f t="shared" si="1"/>
        <v>金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44751</v>
      </c>
      <c r="D28" s="100" t="str">
        <f t="shared" si="1"/>
        <v>土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44752</v>
      </c>
      <c r="D29" s="100" t="str">
        <f t="shared" si="1"/>
        <v>日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44753</v>
      </c>
      <c r="D30" s="100" t="str">
        <f t="shared" si="1"/>
        <v>月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44754</v>
      </c>
      <c r="D31" s="100" t="str">
        <f t="shared" si="1"/>
        <v>火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44755</v>
      </c>
      <c r="D32" s="100" t="str">
        <f t="shared" si="1"/>
        <v>水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44756</v>
      </c>
      <c r="D33" s="100" t="str">
        <f t="shared" si="1"/>
        <v>木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44757</v>
      </c>
      <c r="D34" s="100" t="str">
        <f t="shared" si="1"/>
        <v>金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44758</v>
      </c>
      <c r="D35" s="100" t="str">
        <f t="shared" si="1"/>
        <v>土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44759</v>
      </c>
      <c r="D36" s="100" t="str">
        <f t="shared" si="1"/>
        <v>日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44760</v>
      </c>
      <c r="D37" s="100" t="str">
        <f t="shared" si="1"/>
        <v>月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44761</v>
      </c>
      <c r="D38" s="100" t="str">
        <f t="shared" si="1"/>
        <v>火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44762</v>
      </c>
      <c r="D39" s="100" t="str">
        <f t="shared" si="1"/>
        <v>水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44763</v>
      </c>
      <c r="D40" s="100" t="str">
        <f t="shared" si="1"/>
        <v>木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44764</v>
      </c>
      <c r="D41" s="100" t="str">
        <f t="shared" si="1"/>
        <v>金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44765</v>
      </c>
      <c r="D42" s="100" t="str">
        <f t="shared" si="1"/>
        <v>土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44766</v>
      </c>
      <c r="D43" s="100" t="str">
        <f t="shared" si="1"/>
        <v>日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44767</v>
      </c>
      <c r="D44" s="100" t="str">
        <f t="shared" si="1"/>
        <v>月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44768</v>
      </c>
      <c r="D45" s="100" t="str">
        <f t="shared" si="1"/>
        <v>火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44769</v>
      </c>
      <c r="D46" s="100" t="str">
        <f t="shared" si="1"/>
        <v>水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44770</v>
      </c>
      <c r="D47" s="100" t="str">
        <f t="shared" si="1"/>
        <v>木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44771</v>
      </c>
      <c r="D48" s="100" t="str">
        <f t="shared" si="1"/>
        <v>金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44772</v>
      </c>
      <c r="D49" s="100" t="str">
        <f t="shared" si="1"/>
        <v>土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44773</v>
      </c>
      <c r="D50" s="100" t="str">
        <f t="shared" si="1"/>
        <v>日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'10月'!R2+1</f>
        <v>6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44713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44714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44715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44716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44717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44718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44719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44720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44721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44722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44723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44724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44725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44726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44727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44728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44729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44730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44731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44732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44733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44734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44735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44736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44737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44738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44739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44740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44741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44742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'9月'!R2+1</f>
        <v>5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44682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44683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44684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44685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44686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44687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44688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44689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44690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44691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44692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44693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44694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44695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44696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44697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44698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44699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44700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44701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44702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44703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44704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44705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44706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44707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44708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44709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44710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44711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44712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f>'7月'!R2+1</f>
        <v>4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/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/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/>
      <c r="P9" s="77" t="s">
        <v>36</v>
      </c>
      <c r="Q9" s="78"/>
      <c r="R9" s="200"/>
      <c r="S9" s="201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/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44652</v>
      </c>
      <c r="D20" s="100" t="str">
        <f t="shared" ref="D20:D50" si="1">TEXT(C20,"aaa")</f>
        <v>金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44653</v>
      </c>
      <c r="D21" s="100" t="str">
        <f t="shared" si="1"/>
        <v>土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44654</v>
      </c>
      <c r="D22" s="100" t="str">
        <f t="shared" si="1"/>
        <v>日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44655</v>
      </c>
      <c r="D23" s="100" t="str">
        <f t="shared" si="1"/>
        <v>月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44656</v>
      </c>
      <c r="D24" s="100" t="str">
        <f t="shared" si="1"/>
        <v>火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44657</v>
      </c>
      <c r="D25" s="100" t="str">
        <f t="shared" si="1"/>
        <v>水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44658</v>
      </c>
      <c r="D26" s="100" t="str">
        <f t="shared" si="1"/>
        <v>木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44659</v>
      </c>
      <c r="D27" s="100" t="str">
        <f t="shared" si="1"/>
        <v>金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44660</v>
      </c>
      <c r="D28" s="100" t="str">
        <f t="shared" si="1"/>
        <v>土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44661</v>
      </c>
      <c r="D29" s="100" t="str">
        <f t="shared" si="1"/>
        <v>日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44662</v>
      </c>
      <c r="D30" s="100" t="str">
        <f t="shared" si="1"/>
        <v>月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44663</v>
      </c>
      <c r="D31" s="100" t="str">
        <f t="shared" si="1"/>
        <v>火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44664</v>
      </c>
      <c r="D32" s="100" t="str">
        <f t="shared" si="1"/>
        <v>水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44665</v>
      </c>
      <c r="D33" s="100" t="str">
        <f t="shared" si="1"/>
        <v>木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44666</v>
      </c>
      <c r="D34" s="100" t="str">
        <f t="shared" si="1"/>
        <v>金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44667</v>
      </c>
      <c r="D35" s="100" t="str">
        <f t="shared" si="1"/>
        <v>土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44668</v>
      </c>
      <c r="D36" s="100" t="str">
        <f t="shared" si="1"/>
        <v>日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44669</v>
      </c>
      <c r="D37" s="100" t="str">
        <f t="shared" si="1"/>
        <v>月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44670</v>
      </c>
      <c r="D38" s="100" t="str">
        <f t="shared" si="1"/>
        <v>火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44671</v>
      </c>
      <c r="D39" s="100" t="str">
        <f t="shared" si="1"/>
        <v>水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44672</v>
      </c>
      <c r="D40" s="100" t="str">
        <f t="shared" si="1"/>
        <v>木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44673</v>
      </c>
      <c r="D41" s="100" t="str">
        <f t="shared" si="1"/>
        <v>金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44674</v>
      </c>
      <c r="D42" s="100" t="str">
        <f t="shared" si="1"/>
        <v>土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44675</v>
      </c>
      <c r="D43" s="100" t="str">
        <f t="shared" si="1"/>
        <v>日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44676</v>
      </c>
      <c r="D44" s="100" t="str">
        <f t="shared" si="1"/>
        <v>月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44677</v>
      </c>
      <c r="D45" s="100" t="str">
        <f t="shared" si="1"/>
        <v>火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44678</v>
      </c>
      <c r="D46" s="100" t="str">
        <f t="shared" si="1"/>
        <v>水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44679</v>
      </c>
      <c r="D47" s="100" t="str">
        <f t="shared" si="1"/>
        <v>木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44680</v>
      </c>
      <c r="D48" s="100" t="str">
        <f t="shared" si="1"/>
        <v>金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44681</v>
      </c>
      <c r="D49" s="100" t="str">
        <f t="shared" si="1"/>
        <v>土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Y16:AG16"/>
    <mergeCell ref="Y18:Z18"/>
    <mergeCell ref="AA18:AB18"/>
    <mergeCell ref="AC18:AD18"/>
    <mergeCell ref="AE18:AF18"/>
    <mergeCell ref="G19:I19"/>
    <mergeCell ref="O19:S19"/>
    <mergeCell ref="C14:E15"/>
    <mergeCell ref="F14:L15"/>
    <mergeCell ref="O14:R14"/>
    <mergeCell ref="O15:R15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42" activePane="bottomLeft" state="frozen"/>
      <selection activeCell="C12" sqref="C12:L13"/>
      <selection pane="bottomLeft" activeCell="P46" sqref="P46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2024</v>
      </c>
      <c r="P2" s="213"/>
      <c r="Q2" s="61" t="s">
        <v>20</v>
      </c>
      <c r="R2" s="61"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125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9" t="s">
        <v>122</v>
      </c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 t="s">
        <v>128</v>
      </c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 t="s">
        <v>127</v>
      </c>
      <c r="G6" s="177"/>
      <c r="H6" s="177"/>
      <c r="I6" s="177"/>
      <c r="J6" s="177"/>
      <c r="K6" s="177"/>
      <c r="L6" s="177"/>
      <c r="M6" s="178"/>
      <c r="N6" s="114" t="s">
        <v>28</v>
      </c>
      <c r="O6" s="176" t="s">
        <v>129</v>
      </c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27" t="s">
        <v>123</v>
      </c>
      <c r="G7" s="228"/>
      <c r="H7" s="228"/>
      <c r="I7" s="228"/>
      <c r="J7" s="228"/>
      <c r="K7" s="228"/>
      <c r="L7" s="228"/>
      <c r="M7" s="228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126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0.72916666666666663</v>
      </c>
      <c r="R9" s="200" t="s">
        <v>121</v>
      </c>
      <c r="S9" s="201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0"/>
      <c r="P10" s="81" t="s">
        <v>36</v>
      </c>
      <c r="Q10" s="82"/>
      <c r="R10" s="202"/>
      <c r="S10" s="203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120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183" t="s">
        <v>96</v>
      </c>
      <c r="Z18" s="184"/>
      <c r="AA18" s="183" t="s">
        <v>97</v>
      </c>
      <c r="AB18" s="184"/>
      <c r="AC18" s="183" t="s">
        <v>98</v>
      </c>
      <c r="AD18" s="184"/>
      <c r="AE18" s="183" t="s">
        <v>99</v>
      </c>
      <c r="AF18" s="184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45352</v>
      </c>
      <c r="D20" s="100" t="str">
        <f t="shared" ref="D20:D50" si="1">TEXT(C20,"aaa")</f>
        <v>金</v>
      </c>
      <c r="E20" s="101">
        <v>0.375</v>
      </c>
      <c r="F20" s="102">
        <v>0.72916666666666663</v>
      </c>
      <c r="G20" s="103">
        <v>0.5</v>
      </c>
      <c r="H20" s="103" t="s">
        <v>36</v>
      </c>
      <c r="I20" s="104">
        <v>0.54166666666666663</v>
      </c>
      <c r="J20" s="105">
        <f t="shared" ref="J20:J48" si="2">IFERROR(IF(G20="",0,I20-G20),"")</f>
        <v>4.166666666666663E-2</v>
      </c>
      <c r="K20" s="103">
        <f t="shared" ref="K20:K48" si="3">IFERROR(IF(E20="",0,F20-E20-J20),"")</f>
        <v>0.3125</v>
      </c>
      <c r="L20" s="103"/>
      <c r="M20" s="103"/>
      <c r="N20" s="100"/>
      <c r="O20" s="157" t="s">
        <v>124</v>
      </c>
      <c r="P20" s="66"/>
      <c r="Q20" s="66"/>
      <c r="R20" s="66"/>
      <c r="S20" s="67"/>
      <c r="T20" s="105">
        <f t="shared" ref="T20:U48" si="4">E20</f>
        <v>0.375</v>
      </c>
      <c r="U20" s="102">
        <f t="shared" si="4"/>
        <v>0.72916666666666663</v>
      </c>
      <c r="V20" s="103">
        <f t="shared" ref="V20:V48" si="5">IFERROR(IF(T20="",0,U20-T20-J20),"")</f>
        <v>0.3125</v>
      </c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45353</v>
      </c>
      <c r="D21" s="100" t="str">
        <f t="shared" si="1"/>
        <v>土</v>
      </c>
      <c r="E21" s="101"/>
      <c r="F21" s="102"/>
      <c r="G21" s="103"/>
      <c r="H21" s="103"/>
      <c r="I21" s="104"/>
      <c r="J21" s="105"/>
      <c r="K21" s="103"/>
      <c r="L21" s="103"/>
      <c r="M21" s="145"/>
      <c r="N21" s="100"/>
      <c r="O21" s="157"/>
      <c r="P21" s="66"/>
      <c r="Q21" s="66"/>
      <c r="R21" s="66"/>
      <c r="S21" s="67"/>
      <c r="T21" s="105"/>
      <c r="U21" s="102"/>
      <c r="V21" s="103"/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45354</v>
      </c>
      <c r="D22" s="100" t="str">
        <f t="shared" si="1"/>
        <v>日</v>
      </c>
      <c r="E22" s="101"/>
      <c r="F22" s="102"/>
      <c r="G22" s="103"/>
      <c r="H22" s="103"/>
      <c r="I22" s="104"/>
      <c r="J22" s="105"/>
      <c r="K22" s="103"/>
      <c r="L22" s="103"/>
      <c r="M22" s="145"/>
      <c r="N22" s="100"/>
      <c r="O22" s="157"/>
      <c r="P22" s="66"/>
      <c r="Q22" s="66"/>
      <c r="R22" s="66"/>
      <c r="S22" s="67"/>
      <c r="T22" s="105"/>
      <c r="U22" s="102"/>
      <c r="V22" s="103"/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45355</v>
      </c>
      <c r="D23" s="100" t="str">
        <f t="shared" si="1"/>
        <v>月</v>
      </c>
      <c r="E23" s="101">
        <v>0.375</v>
      </c>
      <c r="F23" s="102">
        <v>0.72916666666666663</v>
      </c>
      <c r="G23" s="103">
        <v>0.5</v>
      </c>
      <c r="H23" s="103" t="s">
        <v>36</v>
      </c>
      <c r="I23" s="104">
        <v>0.54166666666666663</v>
      </c>
      <c r="J23" s="105">
        <f t="shared" si="2"/>
        <v>4.166666666666663E-2</v>
      </c>
      <c r="K23" s="103">
        <f t="shared" si="3"/>
        <v>0.3125</v>
      </c>
      <c r="L23" s="103"/>
      <c r="M23" s="145"/>
      <c r="N23" s="100"/>
      <c r="O23" s="157" t="s">
        <v>124</v>
      </c>
      <c r="P23" s="66"/>
      <c r="Q23" s="66"/>
      <c r="R23" s="66"/>
      <c r="S23" s="67"/>
      <c r="T23" s="105">
        <f t="shared" si="4"/>
        <v>0.375</v>
      </c>
      <c r="U23" s="102">
        <f t="shared" si="4"/>
        <v>0.72916666666666663</v>
      </c>
      <c r="V23" s="103">
        <f t="shared" si="5"/>
        <v>0.3125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45356</v>
      </c>
      <c r="D24" s="100" t="str">
        <f t="shared" si="1"/>
        <v>火</v>
      </c>
      <c r="E24" s="101">
        <v>0.375</v>
      </c>
      <c r="F24" s="102">
        <v>0.72916666666666663</v>
      </c>
      <c r="G24" s="103">
        <v>0.5</v>
      </c>
      <c r="H24" s="103" t="s">
        <v>36</v>
      </c>
      <c r="I24" s="104">
        <v>0.54166666666666663</v>
      </c>
      <c r="J24" s="105">
        <f t="shared" si="2"/>
        <v>4.166666666666663E-2</v>
      </c>
      <c r="K24" s="103">
        <f t="shared" si="3"/>
        <v>0.3125</v>
      </c>
      <c r="L24" s="103"/>
      <c r="M24" s="145"/>
      <c r="N24" s="100"/>
      <c r="O24" s="157" t="s">
        <v>124</v>
      </c>
      <c r="P24" s="66"/>
      <c r="Q24" s="66"/>
      <c r="R24" s="66"/>
      <c r="S24" s="67"/>
      <c r="T24" s="105">
        <f t="shared" si="4"/>
        <v>0.375</v>
      </c>
      <c r="U24" s="102">
        <f t="shared" si="4"/>
        <v>0.72916666666666663</v>
      </c>
      <c r="V24" s="103">
        <f t="shared" si="5"/>
        <v>0.3125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45357</v>
      </c>
      <c r="D25" s="100" t="str">
        <f t="shared" si="1"/>
        <v>水</v>
      </c>
      <c r="E25" s="101">
        <v>0.375</v>
      </c>
      <c r="F25" s="102">
        <v>0.72916666666666663</v>
      </c>
      <c r="G25" s="103">
        <v>0.5</v>
      </c>
      <c r="H25" s="103" t="s">
        <v>36</v>
      </c>
      <c r="I25" s="104">
        <v>0.54166666666666663</v>
      </c>
      <c r="J25" s="105">
        <f t="shared" si="2"/>
        <v>4.166666666666663E-2</v>
      </c>
      <c r="K25" s="103">
        <f t="shared" si="3"/>
        <v>0.3125</v>
      </c>
      <c r="L25" s="103"/>
      <c r="M25" s="145"/>
      <c r="N25" s="100"/>
      <c r="O25" s="157" t="s">
        <v>124</v>
      </c>
      <c r="P25" s="66"/>
      <c r="Q25" s="66"/>
      <c r="R25" s="66"/>
      <c r="S25" s="67"/>
      <c r="T25" s="105">
        <f t="shared" si="4"/>
        <v>0.375</v>
      </c>
      <c r="U25" s="102">
        <f t="shared" si="4"/>
        <v>0.72916666666666663</v>
      </c>
      <c r="V25" s="103">
        <f t="shared" si="5"/>
        <v>0.3125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45358</v>
      </c>
      <c r="D26" s="100" t="str">
        <f t="shared" si="1"/>
        <v>木</v>
      </c>
      <c r="E26" s="101">
        <v>0.375</v>
      </c>
      <c r="F26" s="102">
        <v>0.72916666666666663</v>
      </c>
      <c r="G26" s="103">
        <v>0.5</v>
      </c>
      <c r="H26" s="103" t="s">
        <v>36</v>
      </c>
      <c r="I26" s="104">
        <v>0.54166666666666663</v>
      </c>
      <c r="J26" s="105">
        <f t="shared" si="2"/>
        <v>4.166666666666663E-2</v>
      </c>
      <c r="K26" s="103">
        <f t="shared" si="3"/>
        <v>0.3125</v>
      </c>
      <c r="L26" s="103"/>
      <c r="M26" s="145"/>
      <c r="N26" s="100"/>
      <c r="O26" s="157" t="s">
        <v>124</v>
      </c>
      <c r="P26" s="66"/>
      <c r="Q26" s="66"/>
      <c r="R26" s="66"/>
      <c r="S26" s="67"/>
      <c r="T26" s="105">
        <f t="shared" si="4"/>
        <v>0.375</v>
      </c>
      <c r="U26" s="102">
        <f t="shared" si="4"/>
        <v>0.72916666666666663</v>
      </c>
      <c r="V26" s="103">
        <f t="shared" si="5"/>
        <v>0.3125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45359</v>
      </c>
      <c r="D27" s="100" t="str">
        <f t="shared" si="1"/>
        <v>金</v>
      </c>
      <c r="E27" s="101">
        <v>0.375</v>
      </c>
      <c r="F27" s="102">
        <v>0.72916666666666663</v>
      </c>
      <c r="G27" s="103">
        <v>0.5</v>
      </c>
      <c r="H27" s="103" t="s">
        <v>36</v>
      </c>
      <c r="I27" s="104">
        <v>0.54166666666666663</v>
      </c>
      <c r="J27" s="105">
        <f t="shared" si="2"/>
        <v>4.166666666666663E-2</v>
      </c>
      <c r="K27" s="103">
        <f t="shared" si="3"/>
        <v>0.3125</v>
      </c>
      <c r="L27" s="103"/>
      <c r="M27" s="145"/>
      <c r="N27" s="100"/>
      <c r="O27" s="157" t="s">
        <v>124</v>
      </c>
      <c r="P27" s="66"/>
      <c r="Q27" s="66"/>
      <c r="R27" s="66"/>
      <c r="S27" s="67"/>
      <c r="T27" s="105">
        <f t="shared" si="4"/>
        <v>0.375</v>
      </c>
      <c r="U27" s="102">
        <f t="shared" si="4"/>
        <v>0.72916666666666663</v>
      </c>
      <c r="V27" s="103">
        <f t="shared" si="5"/>
        <v>0.3125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45360</v>
      </c>
      <c r="D28" s="100" t="str">
        <f t="shared" si="1"/>
        <v>土</v>
      </c>
      <c r="E28" s="101"/>
      <c r="F28" s="102"/>
      <c r="G28" s="103"/>
      <c r="H28" s="103"/>
      <c r="I28" s="104"/>
      <c r="J28" s="105"/>
      <c r="K28" s="103"/>
      <c r="L28" s="103"/>
      <c r="M28" s="145"/>
      <c r="N28" s="100"/>
      <c r="O28" s="157"/>
      <c r="P28" s="66"/>
      <c r="Q28" s="66"/>
      <c r="R28" s="66"/>
      <c r="S28" s="67"/>
      <c r="T28" s="105"/>
      <c r="U28" s="102"/>
      <c r="V28" s="103"/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45361</v>
      </c>
      <c r="D29" s="100" t="str">
        <f t="shared" si="1"/>
        <v>日</v>
      </c>
      <c r="E29" s="101"/>
      <c r="F29" s="102"/>
      <c r="G29" s="103"/>
      <c r="H29" s="103"/>
      <c r="I29" s="104"/>
      <c r="J29" s="105"/>
      <c r="K29" s="103"/>
      <c r="L29" s="103"/>
      <c r="M29" s="145"/>
      <c r="N29" s="100"/>
      <c r="O29" s="157"/>
      <c r="P29" s="66"/>
      <c r="Q29" s="66"/>
      <c r="R29" s="66"/>
      <c r="S29" s="67"/>
      <c r="T29" s="105"/>
      <c r="U29" s="102"/>
      <c r="V29" s="103"/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45362</v>
      </c>
      <c r="D30" s="100" t="str">
        <f t="shared" si="1"/>
        <v>月</v>
      </c>
      <c r="E30" s="101">
        <v>0.375</v>
      </c>
      <c r="F30" s="102">
        <v>0.72916666666666663</v>
      </c>
      <c r="G30" s="103">
        <v>0.5</v>
      </c>
      <c r="H30" s="103" t="s">
        <v>36</v>
      </c>
      <c r="I30" s="104">
        <v>0.54166666666666663</v>
      </c>
      <c r="J30" s="105">
        <f t="shared" si="2"/>
        <v>4.166666666666663E-2</v>
      </c>
      <c r="K30" s="103">
        <f t="shared" si="3"/>
        <v>0.3125</v>
      </c>
      <c r="L30" s="103"/>
      <c r="M30" s="145"/>
      <c r="N30" s="100"/>
      <c r="O30" s="157" t="s">
        <v>124</v>
      </c>
      <c r="P30" s="66"/>
      <c r="Q30" s="66"/>
      <c r="R30" s="66"/>
      <c r="S30" s="67"/>
      <c r="T30" s="105">
        <f t="shared" si="4"/>
        <v>0.375</v>
      </c>
      <c r="U30" s="102">
        <f t="shared" si="4"/>
        <v>0.72916666666666663</v>
      </c>
      <c r="V30" s="103">
        <f t="shared" si="5"/>
        <v>0.3125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45363</v>
      </c>
      <c r="D31" s="100" t="str">
        <f t="shared" si="1"/>
        <v>火</v>
      </c>
      <c r="E31" s="101">
        <v>0.375</v>
      </c>
      <c r="F31" s="102">
        <v>0.72916666666666663</v>
      </c>
      <c r="G31" s="103">
        <v>0.5</v>
      </c>
      <c r="H31" s="103" t="s">
        <v>36</v>
      </c>
      <c r="I31" s="104">
        <v>0.54166666666666663</v>
      </c>
      <c r="J31" s="105">
        <f t="shared" si="2"/>
        <v>4.166666666666663E-2</v>
      </c>
      <c r="K31" s="103">
        <f t="shared" si="3"/>
        <v>0.3125</v>
      </c>
      <c r="L31" s="103"/>
      <c r="M31" s="145"/>
      <c r="N31" s="100"/>
      <c r="O31" s="157" t="s">
        <v>124</v>
      </c>
      <c r="P31" s="66"/>
      <c r="Q31" s="66"/>
      <c r="R31" s="66"/>
      <c r="S31" s="67"/>
      <c r="T31" s="105">
        <f t="shared" si="4"/>
        <v>0.375</v>
      </c>
      <c r="U31" s="102">
        <f t="shared" si="4"/>
        <v>0.72916666666666663</v>
      </c>
      <c r="V31" s="103">
        <f t="shared" si="5"/>
        <v>0.3125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45364</v>
      </c>
      <c r="D32" s="100" t="str">
        <f t="shared" si="1"/>
        <v>水</v>
      </c>
      <c r="E32" s="101">
        <v>0.375</v>
      </c>
      <c r="F32" s="102">
        <v>0.72916666666666663</v>
      </c>
      <c r="G32" s="103">
        <v>0.5</v>
      </c>
      <c r="H32" s="103" t="s">
        <v>36</v>
      </c>
      <c r="I32" s="104">
        <v>0.54166666666666663</v>
      </c>
      <c r="J32" s="105">
        <f t="shared" si="2"/>
        <v>4.166666666666663E-2</v>
      </c>
      <c r="K32" s="103">
        <f t="shared" si="3"/>
        <v>0.3125</v>
      </c>
      <c r="L32" s="103"/>
      <c r="M32" s="145"/>
      <c r="N32" s="100"/>
      <c r="O32" s="157" t="s">
        <v>124</v>
      </c>
      <c r="P32" s="66"/>
      <c r="Q32" s="66"/>
      <c r="R32" s="66"/>
      <c r="S32" s="67"/>
      <c r="T32" s="105">
        <f t="shared" si="4"/>
        <v>0.375</v>
      </c>
      <c r="U32" s="102">
        <f t="shared" si="4"/>
        <v>0.72916666666666663</v>
      </c>
      <c r="V32" s="103">
        <f t="shared" si="5"/>
        <v>0.3125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45365</v>
      </c>
      <c r="D33" s="100" t="str">
        <f t="shared" si="1"/>
        <v>木</v>
      </c>
      <c r="E33" s="101">
        <v>0.375</v>
      </c>
      <c r="F33" s="102">
        <v>0.72916666666666663</v>
      </c>
      <c r="G33" s="103">
        <v>0.5</v>
      </c>
      <c r="H33" s="103" t="s">
        <v>36</v>
      </c>
      <c r="I33" s="104">
        <v>0.54166666666666663</v>
      </c>
      <c r="J33" s="105">
        <f t="shared" si="2"/>
        <v>4.166666666666663E-2</v>
      </c>
      <c r="K33" s="103">
        <f t="shared" si="3"/>
        <v>0.3125</v>
      </c>
      <c r="L33" s="103"/>
      <c r="M33" s="145"/>
      <c r="N33" s="100"/>
      <c r="O33" s="157" t="s">
        <v>124</v>
      </c>
      <c r="P33" s="66"/>
      <c r="Q33" s="66"/>
      <c r="R33" s="66"/>
      <c r="S33" s="67"/>
      <c r="T33" s="105">
        <f t="shared" si="4"/>
        <v>0.375</v>
      </c>
      <c r="U33" s="102">
        <f t="shared" si="4"/>
        <v>0.72916666666666663</v>
      </c>
      <c r="V33" s="103">
        <f t="shared" si="5"/>
        <v>0.3125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45366</v>
      </c>
      <c r="D34" s="100" t="str">
        <f t="shared" si="1"/>
        <v>金</v>
      </c>
      <c r="E34" s="101">
        <v>0.375</v>
      </c>
      <c r="F34" s="102">
        <v>0.72916666666666663</v>
      </c>
      <c r="G34" s="103">
        <v>0.5</v>
      </c>
      <c r="H34" s="103" t="s">
        <v>36</v>
      </c>
      <c r="I34" s="104">
        <v>0.54166666666666663</v>
      </c>
      <c r="J34" s="105">
        <f t="shared" si="2"/>
        <v>4.166666666666663E-2</v>
      </c>
      <c r="K34" s="103">
        <f t="shared" si="3"/>
        <v>0.3125</v>
      </c>
      <c r="L34" s="103"/>
      <c r="M34" s="145"/>
      <c r="N34" s="100"/>
      <c r="O34" s="157" t="s">
        <v>124</v>
      </c>
      <c r="P34" s="66"/>
      <c r="Q34" s="66"/>
      <c r="R34" s="66"/>
      <c r="S34" s="67"/>
      <c r="T34" s="105">
        <f t="shared" si="4"/>
        <v>0.375</v>
      </c>
      <c r="U34" s="102">
        <f t="shared" si="4"/>
        <v>0.72916666666666663</v>
      </c>
      <c r="V34" s="103">
        <f t="shared" si="5"/>
        <v>0.3125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45367</v>
      </c>
      <c r="D35" s="100" t="str">
        <f t="shared" si="1"/>
        <v>土</v>
      </c>
      <c r="E35" s="101"/>
      <c r="F35" s="102"/>
      <c r="G35" s="103"/>
      <c r="H35" s="103"/>
      <c r="I35" s="104"/>
      <c r="J35" s="105"/>
      <c r="K35" s="103"/>
      <c r="L35" s="103"/>
      <c r="M35" s="145"/>
      <c r="N35" s="100"/>
      <c r="O35" s="157"/>
      <c r="P35" s="66"/>
      <c r="Q35" s="66"/>
      <c r="R35" s="66"/>
      <c r="S35" s="67"/>
      <c r="T35" s="105"/>
      <c r="U35" s="102"/>
      <c r="V35" s="103"/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45368</v>
      </c>
      <c r="D36" s="100" t="str">
        <f t="shared" si="1"/>
        <v>日</v>
      </c>
      <c r="E36" s="101"/>
      <c r="F36" s="102"/>
      <c r="G36" s="103"/>
      <c r="H36" s="103"/>
      <c r="I36" s="104"/>
      <c r="J36" s="105"/>
      <c r="K36" s="103"/>
      <c r="L36" s="103"/>
      <c r="M36" s="145"/>
      <c r="N36" s="100"/>
      <c r="O36" s="157"/>
      <c r="P36" s="66"/>
      <c r="Q36" s="66"/>
      <c r="R36" s="66"/>
      <c r="S36" s="67"/>
      <c r="T36" s="105"/>
      <c r="U36" s="102"/>
      <c r="V36" s="103"/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45369</v>
      </c>
      <c r="D37" s="100" t="str">
        <f t="shared" si="1"/>
        <v>月</v>
      </c>
      <c r="E37" s="101">
        <v>0.375</v>
      </c>
      <c r="F37" s="102">
        <v>0.72916666666666663</v>
      </c>
      <c r="G37" s="103">
        <v>0.5</v>
      </c>
      <c r="H37" s="103" t="s">
        <v>36</v>
      </c>
      <c r="I37" s="104">
        <v>0.54166666666666663</v>
      </c>
      <c r="J37" s="105">
        <f t="shared" si="2"/>
        <v>4.166666666666663E-2</v>
      </c>
      <c r="K37" s="103">
        <f t="shared" si="3"/>
        <v>0.3125</v>
      </c>
      <c r="L37" s="103"/>
      <c r="M37" s="146"/>
      <c r="N37" s="100"/>
      <c r="O37" s="157" t="s">
        <v>124</v>
      </c>
      <c r="P37" s="66"/>
      <c r="Q37" s="66"/>
      <c r="R37" s="66"/>
      <c r="S37" s="67"/>
      <c r="T37" s="105">
        <f t="shared" si="4"/>
        <v>0.375</v>
      </c>
      <c r="U37" s="102">
        <f t="shared" si="4"/>
        <v>0.72916666666666663</v>
      </c>
      <c r="V37" s="103">
        <f t="shared" si="5"/>
        <v>0.3125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45370</v>
      </c>
      <c r="D38" s="100" t="str">
        <f t="shared" si="1"/>
        <v>火</v>
      </c>
      <c r="E38" s="101">
        <v>0.375</v>
      </c>
      <c r="F38" s="102">
        <v>0.72916666666666663</v>
      </c>
      <c r="G38" s="103">
        <v>0.5</v>
      </c>
      <c r="H38" s="103" t="s">
        <v>36</v>
      </c>
      <c r="I38" s="104">
        <v>0.54166666666666663</v>
      </c>
      <c r="J38" s="105">
        <f t="shared" si="2"/>
        <v>4.166666666666663E-2</v>
      </c>
      <c r="K38" s="103">
        <f t="shared" si="3"/>
        <v>0.3125</v>
      </c>
      <c r="L38" s="103"/>
      <c r="M38" s="145"/>
      <c r="N38" s="100"/>
      <c r="O38" s="157" t="s">
        <v>124</v>
      </c>
      <c r="P38" s="66"/>
      <c r="Q38" s="66"/>
      <c r="R38" s="66"/>
      <c r="S38" s="67"/>
      <c r="T38" s="105">
        <f t="shared" si="4"/>
        <v>0.375</v>
      </c>
      <c r="U38" s="102">
        <f t="shared" si="4"/>
        <v>0.72916666666666663</v>
      </c>
      <c r="V38" s="103">
        <f t="shared" si="5"/>
        <v>0.3125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45371</v>
      </c>
      <c r="D39" s="100" t="str">
        <f t="shared" si="1"/>
        <v>水</v>
      </c>
      <c r="E39" s="101"/>
      <c r="F39" s="102"/>
      <c r="G39" s="103"/>
      <c r="H39" s="103"/>
      <c r="I39" s="104"/>
      <c r="J39" s="105"/>
      <c r="K39" s="103"/>
      <c r="L39" s="103"/>
      <c r="M39" s="145"/>
      <c r="N39" s="147"/>
      <c r="O39" s="157"/>
      <c r="P39" s="66"/>
      <c r="Q39" s="66"/>
      <c r="R39" s="66"/>
      <c r="S39" s="67"/>
      <c r="T39" s="105"/>
      <c r="U39" s="102"/>
      <c r="V39" s="103"/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45372</v>
      </c>
      <c r="D40" s="100" t="str">
        <f t="shared" si="1"/>
        <v>木</v>
      </c>
      <c r="E40" s="101">
        <v>0.375</v>
      </c>
      <c r="F40" s="102">
        <v>0.72916666666666663</v>
      </c>
      <c r="G40" s="103">
        <v>0.5</v>
      </c>
      <c r="H40" s="103" t="s">
        <v>36</v>
      </c>
      <c r="I40" s="104">
        <v>0.54166666666666663</v>
      </c>
      <c r="J40" s="105">
        <f t="shared" si="2"/>
        <v>4.166666666666663E-2</v>
      </c>
      <c r="K40" s="103">
        <f t="shared" si="3"/>
        <v>0.3125</v>
      </c>
      <c r="L40" s="103"/>
      <c r="M40" s="145"/>
      <c r="N40" s="100"/>
      <c r="O40" s="157" t="s">
        <v>124</v>
      </c>
      <c r="P40" s="66"/>
      <c r="Q40" s="66"/>
      <c r="R40" s="66"/>
      <c r="S40" s="67"/>
      <c r="T40" s="105">
        <f t="shared" si="4"/>
        <v>0.375</v>
      </c>
      <c r="U40" s="102">
        <f t="shared" si="4"/>
        <v>0.72916666666666663</v>
      </c>
      <c r="V40" s="103">
        <f t="shared" si="5"/>
        <v>0.3125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45373</v>
      </c>
      <c r="D41" s="100" t="str">
        <f t="shared" si="1"/>
        <v>金</v>
      </c>
      <c r="E41" s="101"/>
      <c r="F41" s="102"/>
      <c r="G41" s="103"/>
      <c r="H41" s="103"/>
      <c r="I41" s="104"/>
      <c r="J41" s="105"/>
      <c r="K41" s="103"/>
      <c r="L41" s="103"/>
      <c r="M41" s="145"/>
      <c r="N41" s="100"/>
      <c r="O41" s="157" t="s">
        <v>130</v>
      </c>
      <c r="P41" s="66"/>
      <c r="Q41" s="66"/>
      <c r="R41" s="66"/>
      <c r="S41" s="67"/>
      <c r="T41" s="105"/>
      <c r="U41" s="102"/>
      <c r="V41" s="103"/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45374</v>
      </c>
      <c r="D42" s="100" t="str">
        <f t="shared" si="1"/>
        <v>土</v>
      </c>
      <c r="E42" s="101"/>
      <c r="F42" s="102"/>
      <c r="G42" s="103"/>
      <c r="H42" s="103"/>
      <c r="I42" s="104"/>
      <c r="J42" s="105"/>
      <c r="K42" s="103"/>
      <c r="L42" s="103"/>
      <c r="M42" s="145"/>
      <c r="N42" s="100"/>
      <c r="O42" s="157"/>
      <c r="P42" s="66"/>
      <c r="Q42" s="66"/>
      <c r="R42" s="66"/>
      <c r="S42" s="67"/>
      <c r="T42" s="105"/>
      <c r="U42" s="102"/>
      <c r="V42" s="103"/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45375</v>
      </c>
      <c r="D43" s="100" t="str">
        <f t="shared" si="1"/>
        <v>日</v>
      </c>
      <c r="E43" s="101"/>
      <c r="F43" s="102"/>
      <c r="G43" s="103"/>
      <c r="H43" s="103"/>
      <c r="I43" s="104"/>
      <c r="J43" s="105"/>
      <c r="K43" s="103"/>
      <c r="L43" s="103"/>
      <c r="M43" s="145"/>
      <c r="N43" s="100"/>
      <c r="O43" s="157"/>
      <c r="P43" s="66"/>
      <c r="Q43" s="66"/>
      <c r="R43" s="66"/>
      <c r="S43" s="67"/>
      <c r="T43" s="105"/>
      <c r="U43" s="102"/>
      <c r="V43" s="103"/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45376</v>
      </c>
      <c r="D44" s="100" t="str">
        <f t="shared" si="1"/>
        <v>月</v>
      </c>
      <c r="E44" s="101">
        <v>0.375</v>
      </c>
      <c r="F44" s="102">
        <v>0.72916666666666663</v>
      </c>
      <c r="G44" s="103">
        <v>0.5</v>
      </c>
      <c r="H44" s="103" t="s">
        <v>36</v>
      </c>
      <c r="I44" s="104">
        <v>0.54166666666666663</v>
      </c>
      <c r="J44" s="105">
        <f t="shared" si="2"/>
        <v>4.166666666666663E-2</v>
      </c>
      <c r="K44" s="103">
        <f t="shared" si="3"/>
        <v>0.3125</v>
      </c>
      <c r="L44" s="103"/>
      <c r="M44" s="145"/>
      <c r="N44" s="100"/>
      <c r="O44" s="157" t="s">
        <v>124</v>
      </c>
      <c r="P44" s="66"/>
      <c r="Q44" s="66"/>
      <c r="R44" s="66"/>
      <c r="S44" s="67"/>
      <c r="T44" s="105">
        <f t="shared" si="4"/>
        <v>0.375</v>
      </c>
      <c r="U44" s="102">
        <f t="shared" si="4"/>
        <v>0.72916666666666663</v>
      </c>
      <c r="V44" s="103">
        <f t="shared" si="5"/>
        <v>0.3125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45377</v>
      </c>
      <c r="D45" s="100" t="str">
        <f t="shared" si="1"/>
        <v>火</v>
      </c>
      <c r="E45" s="101">
        <v>0.375</v>
      </c>
      <c r="F45" s="102">
        <v>0.72916666666666663</v>
      </c>
      <c r="G45" s="103">
        <v>0.5</v>
      </c>
      <c r="H45" s="103" t="s">
        <v>36</v>
      </c>
      <c r="I45" s="104">
        <v>0.54166666666666663</v>
      </c>
      <c r="J45" s="105">
        <f t="shared" si="2"/>
        <v>4.166666666666663E-2</v>
      </c>
      <c r="K45" s="103">
        <f t="shared" si="3"/>
        <v>0.3125</v>
      </c>
      <c r="L45" s="103"/>
      <c r="M45" s="145"/>
      <c r="N45" s="100"/>
      <c r="O45" s="157" t="s">
        <v>124</v>
      </c>
      <c r="P45" s="66"/>
      <c r="Q45" s="66"/>
      <c r="R45" s="66"/>
      <c r="S45" s="67"/>
      <c r="T45" s="105">
        <f t="shared" si="4"/>
        <v>0.375</v>
      </c>
      <c r="U45" s="102">
        <f t="shared" si="4"/>
        <v>0.72916666666666663</v>
      </c>
      <c r="V45" s="103">
        <f t="shared" si="5"/>
        <v>0.3125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45378</v>
      </c>
      <c r="D46" s="100" t="str">
        <f t="shared" si="1"/>
        <v>水</v>
      </c>
      <c r="E46" s="101">
        <v>0.375</v>
      </c>
      <c r="F46" s="102">
        <v>0.72916666666666663</v>
      </c>
      <c r="G46" s="103">
        <v>0.5</v>
      </c>
      <c r="H46" s="103" t="s">
        <v>36</v>
      </c>
      <c r="I46" s="104">
        <v>0.54166666666666663</v>
      </c>
      <c r="J46" s="105">
        <f t="shared" si="2"/>
        <v>4.166666666666663E-2</v>
      </c>
      <c r="K46" s="103">
        <f t="shared" si="3"/>
        <v>0.3125</v>
      </c>
      <c r="L46" s="103"/>
      <c r="M46" s="145"/>
      <c r="N46" s="100"/>
      <c r="O46" s="157" t="s">
        <v>124</v>
      </c>
      <c r="P46" s="66"/>
      <c r="Q46" s="66"/>
      <c r="R46" s="66"/>
      <c r="S46" s="67"/>
      <c r="T46" s="105">
        <f t="shared" si="4"/>
        <v>0.375</v>
      </c>
      <c r="U46" s="102">
        <f t="shared" si="4"/>
        <v>0.72916666666666663</v>
      </c>
      <c r="V46" s="103">
        <f t="shared" si="5"/>
        <v>0.3125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45379</v>
      </c>
      <c r="D47" s="100" t="str">
        <f t="shared" si="1"/>
        <v>木</v>
      </c>
      <c r="E47" s="101">
        <v>0.375</v>
      </c>
      <c r="F47" s="102">
        <v>0.72916666666666663</v>
      </c>
      <c r="G47" s="103">
        <v>0.5</v>
      </c>
      <c r="H47" s="103" t="s">
        <v>36</v>
      </c>
      <c r="I47" s="104">
        <v>0.54166666666666663</v>
      </c>
      <c r="J47" s="105">
        <f t="shared" si="2"/>
        <v>4.166666666666663E-2</v>
      </c>
      <c r="K47" s="103">
        <f t="shared" si="3"/>
        <v>0.3125</v>
      </c>
      <c r="L47" s="103"/>
      <c r="M47" s="145"/>
      <c r="N47" s="100"/>
      <c r="O47" s="157" t="s">
        <v>124</v>
      </c>
      <c r="P47" s="66"/>
      <c r="Q47" s="66"/>
      <c r="R47" s="66"/>
      <c r="S47" s="67"/>
      <c r="T47" s="105">
        <f t="shared" si="4"/>
        <v>0.375</v>
      </c>
      <c r="U47" s="102">
        <f t="shared" si="4"/>
        <v>0.72916666666666663</v>
      </c>
      <c r="V47" s="103">
        <f t="shared" si="5"/>
        <v>0.3125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45380</v>
      </c>
      <c r="D48" s="100" t="str">
        <f t="shared" si="1"/>
        <v>金</v>
      </c>
      <c r="E48" s="101">
        <v>0.375</v>
      </c>
      <c r="F48" s="102">
        <v>0.72916666666666663</v>
      </c>
      <c r="G48" s="103">
        <v>0.5</v>
      </c>
      <c r="H48" s="103" t="s">
        <v>36</v>
      </c>
      <c r="I48" s="104">
        <v>0.54166666666666663</v>
      </c>
      <c r="J48" s="105">
        <f t="shared" si="2"/>
        <v>4.166666666666663E-2</v>
      </c>
      <c r="K48" s="103">
        <f t="shared" si="3"/>
        <v>0.3125</v>
      </c>
      <c r="L48" s="103"/>
      <c r="M48" s="145"/>
      <c r="N48" s="100"/>
      <c r="O48" s="157" t="s">
        <v>124</v>
      </c>
      <c r="P48" s="66"/>
      <c r="Q48" s="66"/>
      <c r="R48" s="66"/>
      <c r="S48" s="67"/>
      <c r="T48" s="105">
        <f t="shared" si="4"/>
        <v>0.375</v>
      </c>
      <c r="U48" s="102">
        <f t="shared" si="4"/>
        <v>0.72916666666666663</v>
      </c>
      <c r="V48" s="103">
        <f t="shared" si="5"/>
        <v>0.3125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45381</v>
      </c>
      <c r="D49" s="100" t="str">
        <f t="shared" si="1"/>
        <v>土</v>
      </c>
      <c r="E49" s="101"/>
      <c r="F49" s="102"/>
      <c r="G49" s="103"/>
      <c r="H49" s="103"/>
      <c r="I49" s="104"/>
      <c r="J49" s="105"/>
      <c r="K49" s="103"/>
      <c r="L49" s="103"/>
      <c r="M49" s="145"/>
      <c r="N49" s="100"/>
      <c r="O49" s="157"/>
      <c r="P49" s="66"/>
      <c r="Q49" s="66"/>
      <c r="R49" s="66"/>
      <c r="S49" s="67"/>
      <c r="T49" s="105"/>
      <c r="U49" s="102"/>
      <c r="V49" s="103"/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45382</v>
      </c>
      <c r="D50" s="100" t="str">
        <f t="shared" si="1"/>
        <v>日</v>
      </c>
      <c r="E50" s="101"/>
      <c r="F50" s="102"/>
      <c r="G50" s="103"/>
      <c r="H50" s="103"/>
      <c r="I50" s="104"/>
      <c r="J50" s="105"/>
      <c r="K50" s="103"/>
      <c r="L50" s="103"/>
      <c r="M50" s="145"/>
      <c r="N50" s="100"/>
      <c r="O50" s="157"/>
      <c r="P50" s="89"/>
      <c r="Q50" s="89"/>
      <c r="R50" s="89"/>
      <c r="S50" s="110"/>
      <c r="T50" s="105"/>
      <c r="U50" s="102"/>
      <c r="V50" s="103"/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8">SUM(J20:J50)</f>
        <v>0.79166666666666596</v>
      </c>
      <c r="K51" s="111">
        <f t="shared" si="8"/>
        <v>5.9375</v>
      </c>
      <c r="L51" s="111">
        <f t="shared" si="8"/>
        <v>0</v>
      </c>
      <c r="M51" s="111">
        <f t="shared" si="8"/>
        <v>0</v>
      </c>
      <c r="N51" s="111">
        <f t="shared" si="8"/>
        <v>0</v>
      </c>
      <c r="O51" s="111"/>
      <c r="T51" s="61"/>
      <c r="U51" s="61"/>
      <c r="V51" s="111">
        <f t="shared" ref="V51:W51" si="9">SUM(V20:V50)</f>
        <v>5.9375</v>
      </c>
      <c r="W51" s="111">
        <f t="shared" si="9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Y18:Z18"/>
    <mergeCell ref="AA18:AB18"/>
    <mergeCell ref="AC18:AD18"/>
    <mergeCell ref="AE18:AF18"/>
    <mergeCell ref="Y16:AG16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</mergeCells>
  <phoneticPr fontId="22"/>
  <conditionalFormatting sqref="C20:W20 C21:I23 J21:W50 C24:F25 E20:E48 H20:H48 J20:K48 O20:O50 T20:V50">
    <cfRule type="expression" dxfId="16" priority="3">
      <formula>$A20=1</formula>
    </cfRule>
  </conditionalFormatting>
  <conditionalFormatting sqref="E20:K50">
    <cfRule type="expression" dxfId="15" priority="1">
      <formula>$A20=1</formula>
    </cfRule>
  </conditionalFormatting>
  <conditionalFormatting sqref="G23:K50 C26:I50 F20:G48 I20:I48 K20:K48">
    <cfRule type="expression" dxfId="14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210" t="s">
        <v>18</v>
      </c>
      <c r="D2" s="211"/>
      <c r="E2" s="211"/>
      <c r="F2" s="211"/>
      <c r="G2" s="211"/>
      <c r="H2" s="211"/>
      <c r="I2" s="211"/>
      <c r="J2" s="211"/>
      <c r="K2" s="211"/>
      <c r="M2" s="212" t="s">
        <v>19</v>
      </c>
      <c r="N2" s="213"/>
      <c r="O2" s="212">
        <v>2022</v>
      </c>
      <c r="P2" s="213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214" t="s">
        <v>23</v>
      </c>
      <c r="R3" s="213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215" t="s">
        <v>24</v>
      </c>
      <c r="D4" s="216"/>
      <c r="E4" s="217"/>
      <c r="F4" s="218" t="s">
        <v>111</v>
      </c>
      <c r="G4" s="219"/>
      <c r="H4" s="219"/>
      <c r="I4" s="219"/>
      <c r="J4" s="219"/>
      <c r="K4" s="219"/>
      <c r="L4" s="219"/>
      <c r="M4" s="219"/>
      <c r="N4" s="220" t="s">
        <v>25</v>
      </c>
      <c r="O4" s="216"/>
      <c r="P4" s="216"/>
      <c r="Q4" s="221"/>
      <c r="R4" s="219"/>
      <c r="S4" s="222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223" t="s">
        <v>26</v>
      </c>
      <c r="D5" s="189"/>
      <c r="E5" s="190"/>
      <c r="F5" s="209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99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224" t="s">
        <v>27</v>
      </c>
      <c r="D6" s="225"/>
      <c r="E6" s="226"/>
      <c r="F6" s="209"/>
      <c r="G6" s="177"/>
      <c r="H6" s="177"/>
      <c r="I6" s="177"/>
      <c r="J6" s="177"/>
      <c r="K6" s="177"/>
      <c r="L6" s="177"/>
      <c r="M6" s="178"/>
      <c r="N6" s="114" t="s">
        <v>28</v>
      </c>
      <c r="O6" s="176"/>
      <c r="P6" s="177"/>
      <c r="Q6" s="177"/>
      <c r="R6" s="177"/>
      <c r="S6" s="199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207" t="s">
        <v>107</v>
      </c>
      <c r="D7" s="189"/>
      <c r="E7" s="190"/>
      <c r="F7" s="208" t="s">
        <v>30</v>
      </c>
      <c r="G7" s="177"/>
      <c r="H7" s="177"/>
      <c r="I7" s="177"/>
      <c r="J7" s="177"/>
      <c r="K7" s="177"/>
      <c r="L7" s="177"/>
      <c r="M7" s="177"/>
      <c r="N7" s="114" t="s">
        <v>31</v>
      </c>
      <c r="O7" s="209"/>
      <c r="P7" s="177"/>
      <c r="Q7" s="178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65" t="s">
        <v>33</v>
      </c>
      <c r="D8" s="166"/>
      <c r="E8" s="167"/>
      <c r="F8" s="171" t="s">
        <v>113</v>
      </c>
      <c r="G8" s="172"/>
      <c r="H8" s="172"/>
      <c r="I8" s="172"/>
      <c r="J8" s="172"/>
      <c r="K8" s="172"/>
      <c r="L8" s="173"/>
      <c r="M8" s="196" t="s">
        <v>34</v>
      </c>
      <c r="N8" s="166"/>
      <c r="O8" s="176" t="s">
        <v>0</v>
      </c>
      <c r="P8" s="177"/>
      <c r="Q8" s="177"/>
      <c r="R8" s="176" t="s">
        <v>1</v>
      </c>
      <c r="S8" s="199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5"/>
      <c r="D9" s="186"/>
      <c r="E9" s="187"/>
      <c r="F9" s="191"/>
      <c r="G9" s="192"/>
      <c r="H9" s="192"/>
      <c r="I9" s="192"/>
      <c r="J9" s="192"/>
      <c r="K9" s="192"/>
      <c r="L9" s="193"/>
      <c r="M9" s="197"/>
      <c r="N9" s="186"/>
      <c r="O9" s="76">
        <v>0.375</v>
      </c>
      <c r="P9" s="77" t="s">
        <v>36</v>
      </c>
      <c r="Q9" s="78">
        <v>0.73611111111111116</v>
      </c>
      <c r="R9" s="200">
        <v>4.1666666666666664E-2</v>
      </c>
      <c r="S9" s="201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5"/>
      <c r="D10" s="186"/>
      <c r="E10" s="187"/>
      <c r="F10" s="191"/>
      <c r="G10" s="192"/>
      <c r="H10" s="192"/>
      <c r="I10" s="192"/>
      <c r="J10" s="192"/>
      <c r="K10" s="192"/>
      <c r="L10" s="193"/>
      <c r="M10" s="197"/>
      <c r="N10" s="186"/>
      <c r="O10" s="83">
        <v>0.41666666666666669</v>
      </c>
      <c r="P10" s="81" t="s">
        <v>36</v>
      </c>
      <c r="Q10" s="82">
        <v>0.77777777777777779</v>
      </c>
      <c r="R10" s="202">
        <v>4.1666666666666664E-2</v>
      </c>
      <c r="S10" s="204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5"/>
      <c r="D11" s="186"/>
      <c r="E11" s="187"/>
      <c r="F11" s="191"/>
      <c r="G11" s="192"/>
      <c r="H11" s="192"/>
      <c r="I11" s="192"/>
      <c r="J11" s="192"/>
      <c r="K11" s="192"/>
      <c r="L11" s="193"/>
      <c r="M11" s="197"/>
      <c r="N11" s="186"/>
      <c r="O11" s="80"/>
      <c r="P11" s="81" t="s">
        <v>36</v>
      </c>
      <c r="Q11" s="82"/>
      <c r="R11" s="202"/>
      <c r="S11" s="204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5"/>
      <c r="D12" s="186"/>
      <c r="E12" s="187"/>
      <c r="F12" s="191"/>
      <c r="G12" s="192"/>
      <c r="H12" s="192"/>
      <c r="I12" s="192"/>
      <c r="J12" s="192"/>
      <c r="K12" s="192"/>
      <c r="L12" s="193"/>
      <c r="M12" s="197"/>
      <c r="N12" s="186"/>
      <c r="O12" s="80"/>
      <c r="P12" s="81" t="s">
        <v>36</v>
      </c>
      <c r="Q12" s="82"/>
      <c r="R12" s="202"/>
      <c r="S12" s="204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88"/>
      <c r="D13" s="189"/>
      <c r="E13" s="190"/>
      <c r="F13" s="194"/>
      <c r="G13" s="194"/>
      <c r="H13" s="194"/>
      <c r="I13" s="194"/>
      <c r="J13" s="194"/>
      <c r="K13" s="194"/>
      <c r="L13" s="195"/>
      <c r="M13" s="197"/>
      <c r="N13" s="186"/>
      <c r="O13" s="85"/>
      <c r="P13" s="86" t="s">
        <v>36</v>
      </c>
      <c r="Q13" s="87"/>
      <c r="R13" s="205"/>
      <c r="S13" s="206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65" t="s">
        <v>37</v>
      </c>
      <c r="D14" s="166"/>
      <c r="E14" s="167"/>
      <c r="F14" s="171" t="s">
        <v>112</v>
      </c>
      <c r="G14" s="172"/>
      <c r="H14" s="172"/>
      <c r="I14" s="172"/>
      <c r="J14" s="172"/>
      <c r="K14" s="172"/>
      <c r="L14" s="173"/>
      <c r="M14" s="197"/>
      <c r="N14" s="186"/>
      <c r="O14" s="176" t="s">
        <v>38</v>
      </c>
      <c r="P14" s="177"/>
      <c r="Q14" s="177"/>
      <c r="R14" s="178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168"/>
      <c r="D15" s="169"/>
      <c r="E15" s="170"/>
      <c r="F15" s="174"/>
      <c r="G15" s="174"/>
      <c r="H15" s="174"/>
      <c r="I15" s="174"/>
      <c r="J15" s="174"/>
      <c r="K15" s="174"/>
      <c r="L15" s="175"/>
      <c r="M15" s="198"/>
      <c r="N15" s="169"/>
      <c r="O15" s="179" t="s">
        <v>39</v>
      </c>
      <c r="P15" s="180"/>
      <c r="Q15" s="180"/>
      <c r="R15" s="181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182" t="s">
        <v>103</v>
      </c>
      <c r="Z16" s="182"/>
      <c r="AA16" s="182"/>
      <c r="AB16" s="182"/>
      <c r="AC16" s="182"/>
      <c r="AD16" s="182"/>
      <c r="AE16" s="182"/>
      <c r="AF16" s="182"/>
      <c r="AG16" s="182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159" t="s">
        <v>108</v>
      </c>
      <c r="H19" s="160"/>
      <c r="I19" s="161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162" t="s">
        <v>52</v>
      </c>
      <c r="P19" s="163"/>
      <c r="Q19" s="163"/>
      <c r="R19" s="163"/>
      <c r="S19" s="164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AA18:AB18"/>
    <mergeCell ref="Y18:Z18"/>
    <mergeCell ref="R10:S10"/>
    <mergeCell ref="Y16:AG16"/>
    <mergeCell ref="AC18:AD18"/>
    <mergeCell ref="AE18:AF18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6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0.35416666666666669</v>
      </c>
      <c r="P8" s="23" t="s">
        <v>36</v>
      </c>
      <c r="Q8" s="24">
        <v>0.72916666666666663</v>
      </c>
      <c r="R8" s="256">
        <v>4.1666666666666664E-2</v>
      </c>
      <c r="S8" s="257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26"/>
      <c r="P9" s="27" t="s">
        <v>36</v>
      </c>
      <c r="Q9" s="28"/>
      <c r="R9" s="258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0.375</v>
      </c>
      <c r="P8" s="23" t="s">
        <v>36</v>
      </c>
      <c r="Q8" s="47">
        <v>0.72916666666666663</v>
      </c>
      <c r="R8" s="256">
        <v>4.1666666666666664E-2</v>
      </c>
      <c r="S8" s="257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>
        <v>0.39583333333333331</v>
      </c>
      <c r="P8" s="23" t="s">
        <v>36</v>
      </c>
      <c r="Q8" s="47">
        <v>0.75</v>
      </c>
      <c r="R8" s="256">
        <v>4.1666666666666664E-2</v>
      </c>
      <c r="S8" s="257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65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51" t="s">
        <v>18</v>
      </c>
      <c r="D1" s="243"/>
      <c r="E1" s="243"/>
      <c r="F1" s="243"/>
      <c r="G1" s="243"/>
      <c r="H1" s="243"/>
      <c r="I1" s="243"/>
      <c r="J1" s="243"/>
      <c r="K1" s="243"/>
      <c r="L1" s="8"/>
      <c r="M1" s="252" t="s">
        <v>19</v>
      </c>
      <c r="N1" s="243"/>
      <c r="O1" s="252" t="e">
        <f>#REF!</f>
        <v>#REF!</v>
      </c>
      <c r="P1" s="243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3" t="s">
        <v>23</v>
      </c>
      <c r="R2" s="243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54" t="s">
        <v>24</v>
      </c>
      <c r="D3" s="233"/>
      <c r="E3" s="233"/>
      <c r="F3" s="250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54" t="s">
        <v>25</v>
      </c>
      <c r="O3" s="233"/>
      <c r="P3" s="233"/>
      <c r="Q3" s="255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62" t="s">
        <v>26</v>
      </c>
      <c r="D4" s="246"/>
      <c r="E4" s="246"/>
      <c r="F4" s="250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54" t="s">
        <v>27</v>
      </c>
      <c r="D5" s="233"/>
      <c r="E5" s="233"/>
      <c r="F5" s="238"/>
      <c r="G5" s="233"/>
      <c r="H5" s="233"/>
      <c r="I5" s="233"/>
      <c r="J5" s="233"/>
      <c r="K5" s="233"/>
      <c r="L5" s="233"/>
      <c r="M5" s="234"/>
      <c r="N5" s="18" t="s">
        <v>28</v>
      </c>
      <c r="O5" s="250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63" t="s">
        <v>29</v>
      </c>
      <c r="D6" s="246"/>
      <c r="E6" s="246"/>
      <c r="F6" s="261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3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8" t="s">
        <v>33</v>
      </c>
      <c r="D7" s="240"/>
      <c r="E7" s="241"/>
      <c r="F7" s="239"/>
      <c r="G7" s="240"/>
      <c r="H7" s="240"/>
      <c r="I7" s="240"/>
      <c r="J7" s="240"/>
      <c r="K7" s="240"/>
      <c r="L7" s="241"/>
      <c r="M7" s="248" t="s">
        <v>34</v>
      </c>
      <c r="N7" s="240"/>
      <c r="O7" s="250" t="s">
        <v>0</v>
      </c>
      <c r="P7" s="233"/>
      <c r="Q7" s="233"/>
      <c r="R7" s="250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2"/>
      <c r="D8" s="243"/>
      <c r="E8" s="244"/>
      <c r="F8" s="242"/>
      <c r="G8" s="243"/>
      <c r="H8" s="243"/>
      <c r="I8" s="243"/>
      <c r="J8" s="243"/>
      <c r="K8" s="243"/>
      <c r="L8" s="244"/>
      <c r="M8" s="242"/>
      <c r="N8" s="243"/>
      <c r="O8" s="46"/>
      <c r="P8" s="23" t="s">
        <v>36</v>
      </c>
      <c r="Q8" s="47"/>
      <c r="R8" s="256"/>
      <c r="S8" s="257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5"/>
      <c r="D9" s="246"/>
      <c r="E9" s="247"/>
      <c r="F9" s="245"/>
      <c r="G9" s="246"/>
      <c r="H9" s="246"/>
      <c r="I9" s="246"/>
      <c r="J9" s="246"/>
      <c r="K9" s="246"/>
      <c r="L9" s="247"/>
      <c r="M9" s="242"/>
      <c r="N9" s="243"/>
      <c r="O9" s="48"/>
      <c r="P9" s="27" t="s">
        <v>36</v>
      </c>
      <c r="Q9" s="49"/>
      <c r="R9" s="264"/>
      <c r="S9" s="259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8" t="s">
        <v>37</v>
      </c>
      <c r="D10" s="240"/>
      <c r="E10" s="241"/>
      <c r="F10" s="249" t="e">
        <f>VLOOKUP($C$2,#REF!,3,0)</f>
        <v>#REF!</v>
      </c>
      <c r="G10" s="240"/>
      <c r="H10" s="240"/>
      <c r="I10" s="240"/>
      <c r="J10" s="240"/>
      <c r="K10" s="240"/>
      <c r="L10" s="241"/>
      <c r="M10" s="242"/>
      <c r="N10" s="243"/>
      <c r="O10" s="250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5"/>
      <c r="D11" s="246"/>
      <c r="E11" s="247"/>
      <c r="F11" s="245"/>
      <c r="G11" s="246"/>
      <c r="H11" s="246"/>
      <c r="I11" s="246"/>
      <c r="J11" s="246"/>
      <c r="K11" s="246"/>
      <c r="L11" s="247"/>
      <c r="M11" s="242"/>
      <c r="N11" s="243"/>
      <c r="O11" s="250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36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37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3:S23"/>
    <mergeCell ref="O24:S24"/>
    <mergeCell ref="O25:S25"/>
    <mergeCell ref="O26:S26"/>
    <mergeCell ref="O27:S27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40:S40"/>
    <mergeCell ref="O41:S41"/>
    <mergeCell ref="O42:S42"/>
    <mergeCell ref="O43:S43"/>
    <mergeCell ref="O44:S44"/>
    <mergeCell ref="C3:E3"/>
    <mergeCell ref="C4:E4"/>
    <mergeCell ref="C5:E5"/>
    <mergeCell ref="C6:E6"/>
    <mergeCell ref="C7:E9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O6:Q6"/>
    <mergeCell ref="F7:L9"/>
    <mergeCell ref="M7:N11"/>
    <mergeCell ref="F10:L11"/>
    <mergeCell ref="O10:R10"/>
    <mergeCell ref="O11:R11"/>
    <mergeCell ref="G13:I13"/>
    <mergeCell ref="O13:S13"/>
    <mergeCell ref="O14:S14"/>
    <mergeCell ref="O15:S15"/>
    <mergeCell ref="O16:S16"/>
    <mergeCell ref="O22:S22"/>
    <mergeCell ref="O17:S17"/>
    <mergeCell ref="O18:S18"/>
    <mergeCell ref="O19:S19"/>
    <mergeCell ref="O20:S20"/>
    <mergeCell ref="O21:S21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2024-03-31T10:42:35Z</dcterms:modified>
</cp:coreProperties>
</file>