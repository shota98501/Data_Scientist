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ACE0DBA4-5759-43E0-943F-35A0E81DDB5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12月" sheetId="58" r:id="rId1"/>
    <sheet name="社員10" sheetId="13" state="hidden" r:id="rId2"/>
    <sheet name="社員32" sheetId="35" state="hidden" r:id="rId3"/>
    <sheet name="社員33" sheetId="36" state="hidden" r:id="rId4"/>
    <sheet name="社員39" sheetId="42" state="hidden" r:id="rId5"/>
    <sheet name="社員40" sheetId="43" state="hidden" r:id="rId6"/>
    <sheet name="社員41" sheetId="44" state="hidden" r:id="rId7"/>
    <sheet name="社員42" sheetId="45" state="hidden" r:id="rId8"/>
    <sheet name="社員44" sheetId="47" state="hidden" r:id="rId9"/>
    <sheet name="社員45" sheetId="48" state="hidden" r:id="rId10"/>
    <sheet name="社員46" sheetId="49" state="hidden" r:id="rId11"/>
    <sheet name="社員47" sheetId="50" state="hidden" r:id="rId12"/>
    <sheet name="社員48" sheetId="51" state="hidden" r:id="rId13"/>
    <sheet name="社員49" sheetId="52" state="hidden" r:id="rId14"/>
    <sheet name="祝日参照用" sheetId="56" state="hidden" r:id="rId15"/>
  </sheets>
  <definedNames>
    <definedName name="_xlnm.Print_Area" localSheetId="0">'12月'!$A$1:$AI$52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6" i="58" l="1"/>
  <c r="U45" i="58"/>
  <c r="U44" i="58"/>
  <c r="U43" i="58"/>
  <c r="U42" i="58"/>
  <c r="U39" i="58"/>
  <c r="U38" i="58"/>
  <c r="U37" i="58"/>
  <c r="U36" i="58"/>
  <c r="U35" i="58"/>
  <c r="U32" i="58"/>
  <c r="U31" i="58"/>
  <c r="U30" i="58"/>
  <c r="U29" i="58"/>
  <c r="U28" i="58"/>
  <c r="U25" i="58"/>
  <c r="U24" i="58"/>
  <c r="U23" i="58"/>
  <c r="U22" i="58"/>
  <c r="U21" i="58"/>
  <c r="T46" i="58"/>
  <c r="V46" i="58" s="1"/>
  <c r="T45" i="58"/>
  <c r="V45" i="58" s="1"/>
  <c r="T44" i="58"/>
  <c r="V44" i="58" s="1"/>
  <c r="T43" i="58"/>
  <c r="V43" i="58" s="1"/>
  <c r="T42" i="58"/>
  <c r="V42" i="58" s="1"/>
  <c r="T39" i="58"/>
  <c r="V39" i="58" s="1"/>
  <c r="T38" i="58"/>
  <c r="V38" i="58" s="1"/>
  <c r="T37" i="58"/>
  <c r="V37" i="58" s="1"/>
  <c r="T36" i="58"/>
  <c r="V36" i="58" s="1"/>
  <c r="T35" i="58"/>
  <c r="V35" i="58" s="1"/>
  <c r="T32" i="58"/>
  <c r="V32" i="58" s="1"/>
  <c r="T31" i="58"/>
  <c r="T30" i="58"/>
  <c r="T29" i="58"/>
  <c r="V29" i="58" s="1"/>
  <c r="T28" i="58"/>
  <c r="V28" i="58" s="1"/>
  <c r="T25" i="58"/>
  <c r="V25" i="58" s="1"/>
  <c r="T24" i="58"/>
  <c r="V24" i="58" s="1"/>
  <c r="T23" i="58"/>
  <c r="V23" i="58" s="1"/>
  <c r="T22" i="58"/>
  <c r="V22" i="58" s="1"/>
  <c r="T21" i="58"/>
  <c r="V21" i="58" s="1"/>
  <c r="K39" i="58"/>
  <c r="K38" i="58"/>
  <c r="K37" i="58"/>
  <c r="K30" i="58"/>
  <c r="K29" i="58"/>
  <c r="K28" i="58"/>
  <c r="K25" i="58"/>
  <c r="J46" i="58"/>
  <c r="K46" i="58" s="1"/>
  <c r="J45" i="58"/>
  <c r="K45" i="58" s="1"/>
  <c r="J44" i="58"/>
  <c r="K44" i="58" s="1"/>
  <c r="J43" i="58"/>
  <c r="K43" i="58" s="1"/>
  <c r="J42" i="58"/>
  <c r="K42" i="58" s="1"/>
  <c r="J39" i="58"/>
  <c r="J38" i="58"/>
  <c r="J37" i="58"/>
  <c r="J36" i="58"/>
  <c r="K36" i="58" s="1"/>
  <c r="J35" i="58"/>
  <c r="K35" i="58" s="1"/>
  <c r="J32" i="58"/>
  <c r="K32" i="58" s="1"/>
  <c r="J31" i="58"/>
  <c r="J30" i="58"/>
  <c r="J29" i="58"/>
  <c r="J28" i="58"/>
  <c r="J25" i="58"/>
  <c r="J24" i="58"/>
  <c r="K24" i="58" s="1"/>
  <c r="J23" i="58"/>
  <c r="K23" i="58" s="1"/>
  <c r="J22" i="58"/>
  <c r="K22" i="58" s="1"/>
  <c r="J21" i="58"/>
  <c r="K21" i="58" s="1"/>
  <c r="C20" i="58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31" i="58" l="1"/>
  <c r="V30" i="58"/>
  <c r="K31" i="58"/>
  <c r="W38" i="58"/>
  <c r="W30" i="58"/>
  <c r="W33" i="58"/>
  <c r="W36" i="58"/>
  <c r="W46" i="58"/>
  <c r="W25" i="58"/>
  <c r="K45" i="49"/>
  <c r="J45" i="42"/>
  <c r="J45" i="43"/>
  <c r="W47" i="58"/>
  <c r="W28" i="58"/>
  <c r="W39" i="58"/>
  <c r="K45" i="51"/>
  <c r="V45" i="48"/>
  <c r="V45" i="52"/>
  <c r="V45" i="49"/>
  <c r="J45" i="48"/>
  <c r="K45" i="48"/>
  <c r="J45" i="35"/>
  <c r="V45" i="42"/>
  <c r="J45" i="13"/>
  <c r="V45" i="13"/>
  <c r="V45" i="50"/>
  <c r="J45" i="51"/>
  <c r="W32" i="58"/>
  <c r="W26" i="58"/>
  <c r="W34" i="58"/>
  <c r="W48" i="58"/>
  <c r="W42" i="58"/>
  <c r="W43" i="58"/>
  <c r="W45" i="58"/>
  <c r="W37" i="58"/>
  <c r="W29" i="58"/>
  <c r="W31" i="58"/>
  <c r="W27" i="58"/>
  <c r="W24" i="58"/>
  <c r="W22" i="58"/>
  <c r="W23" i="58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K51" i="58" l="1"/>
  <c r="W21" i="58"/>
  <c r="W51" i="58" s="1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17" i="13" l="1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17" i="13" l="1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D18" i="13" l="1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D19" i="13" l="1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0" i="13" l="1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2" i="13" l="1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D22" i="13" l="1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C24" i="13" l="1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4" i="13" l="1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C26" i="13" l="1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D26" i="13" l="1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C28" i="13" l="1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29" i="13" l="1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0" i="13" l="1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0" i="13" l="1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 s="1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C32" i="13" l="1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3" i="13" l="1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3" i="13" l="1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5" i="13" l="1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C36" i="13" l="1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36" i="13" l="1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C38" i="13" l="1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C39" i="13" l="1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C40" i="13" l="1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C41" i="13" l="1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2" i="13" l="1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2" i="13" l="1"/>
  <c r="A42" i="13" s="1"/>
  <c r="C43" i="13"/>
  <c r="D48" i="58"/>
  <c r="A48" i="58" s="1"/>
  <c r="C49" i="58"/>
  <c r="D49" i="58" s="1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C44" i="13" l="1"/>
  <c r="D44" i="13" s="1"/>
  <c r="A44" i="13" s="1"/>
  <c r="D43" i="13"/>
  <c r="A43" i="13" s="1"/>
  <c r="C50" i="58"/>
  <c r="D50" i="58" s="1"/>
  <c r="A50" i="58" s="1"/>
  <c r="A49" i="58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4" i="49" l="1"/>
  <c r="A44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<sst xmlns="http://schemas.openxmlformats.org/spreadsheetml/2006/main" count="831" uniqueCount="120">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</sst>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5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0" fillId="0" borderId="22" xfId="0" applyFont="1" applyBorder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177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vertical="center"/>
    </xf>
    <xf numFmtId="179" fontId="23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0" fontId="23" fillId="0" borderId="53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3" fillId="9" borderId="63" xfId="0" applyNumberFormat="1" applyFont="1" applyFill="1" applyBorder="1" applyAlignment="1">
      <alignment horizontal="center" vertical="center"/>
    </xf>
    <xf numFmtId="176" fontId="23" fillId="9" borderId="64" xfId="0" applyNumberFormat="1" applyFont="1" applyFill="1" applyBorder="1" applyAlignment="1">
      <alignment horizontal="center" vertical="center"/>
    </xf>
    <xf numFmtId="179" fontId="23" fillId="9" borderId="65" xfId="0" applyNumberFormat="1" applyFont="1" applyFill="1" applyBorder="1" applyAlignment="1">
      <alignment horizontal="center" vertical="center"/>
    </xf>
    <xf numFmtId="0" fontId="21" fillId="11" borderId="67" xfId="0" applyFont="1" applyFill="1" applyBorder="1" applyAlignment="1">
      <alignment vertical="center"/>
    </xf>
    <xf numFmtId="0" fontId="23" fillId="11" borderId="67" xfId="0" applyFont="1" applyFill="1" applyBorder="1" applyAlignment="1">
      <alignment vertical="center"/>
    </xf>
    <xf numFmtId="0" fontId="26" fillId="11" borderId="68" xfId="0" applyFont="1" applyFill="1" applyBorder="1" applyAlignment="1">
      <alignment vertical="center"/>
    </xf>
    <xf numFmtId="0" fontId="21" fillId="11" borderId="69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3" fillId="11" borderId="22" xfId="0" applyFont="1" applyFill="1" applyBorder="1" applyAlignment="1">
      <alignment vertical="center"/>
    </xf>
    <xf numFmtId="0" fontId="21" fillId="11" borderId="70" xfId="0" applyFont="1" applyFill="1" applyBorder="1" applyAlignment="1">
      <alignment vertical="center"/>
    </xf>
    <xf numFmtId="0" fontId="23" fillId="11" borderId="22" xfId="0" applyFont="1" applyFill="1" applyBorder="1" applyAlignment="1">
      <alignment horizontal="center" vertical="center"/>
    </xf>
    <xf numFmtId="0" fontId="24" fillId="11" borderId="70" xfId="0" applyFont="1" applyFill="1" applyBorder="1" applyAlignment="1">
      <alignment horizontal="center" vertical="center"/>
    </xf>
    <xf numFmtId="176" fontId="24" fillId="11" borderId="70" xfId="0" applyNumberFormat="1" applyFont="1" applyFill="1" applyBorder="1" applyAlignment="1">
      <alignment horizontal="center" vertical="center"/>
    </xf>
    <xf numFmtId="0" fontId="23" fillId="11" borderId="72" xfId="0" applyFont="1" applyFill="1" applyBorder="1" applyAlignment="1">
      <alignment vertical="center"/>
    </xf>
    <xf numFmtId="0" fontId="21" fillId="11" borderId="72" xfId="0" applyFont="1" applyFill="1" applyBorder="1" applyAlignment="1">
      <alignment vertical="center"/>
    </xf>
    <xf numFmtId="0" fontId="21" fillId="11" borderId="73" xfId="0" applyFont="1" applyFill="1" applyBorder="1" applyAlignment="1">
      <alignment vertical="center"/>
    </xf>
    <xf numFmtId="0" fontId="21" fillId="0" borderId="22" xfId="0" applyFont="1" applyBorder="1"/>
    <xf numFmtId="0" fontId="24" fillId="11" borderId="66" xfId="0" applyFont="1" applyFill="1" applyBorder="1" applyAlignment="1">
      <alignment vertical="center"/>
    </xf>
    <xf numFmtId="0" fontId="25" fillId="11" borderId="67" xfId="0" applyFont="1" applyFill="1" applyBorder="1" applyAlignment="1">
      <alignment vertical="center"/>
    </xf>
    <xf numFmtId="0" fontId="24" fillId="11" borderId="69" xfId="0" applyFont="1" applyFill="1" applyBorder="1" applyAlignment="1">
      <alignment vertical="center"/>
    </xf>
    <xf numFmtId="176" fontId="24" fillId="11" borderId="69" xfId="0" applyNumberFormat="1" applyFont="1" applyFill="1" applyBorder="1" applyAlignment="1">
      <alignment horizontal="center" vertical="center"/>
    </xf>
    <xf numFmtId="0" fontId="21" fillId="11" borderId="69" xfId="0" applyFont="1" applyFill="1" applyBorder="1"/>
    <xf numFmtId="0" fontId="21" fillId="11" borderId="69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3" fillId="0" borderId="60" xfId="0" applyNumberFormat="1" applyFont="1" applyBorder="1" applyAlignment="1">
      <alignment horizontal="center" vertical="center"/>
    </xf>
    <xf numFmtId="177" fontId="23" fillId="0" borderId="61" xfId="0" applyNumberFormat="1" applyFont="1" applyBorder="1" applyAlignment="1">
      <alignment horizontal="center" vertical="center"/>
    </xf>
    <xf numFmtId="177" fontId="23" fillId="0" borderId="62" xfId="0" applyNumberFormat="1" applyFont="1" applyBorder="1" applyAlignment="1">
      <alignment horizontal="center" vertical="center"/>
    </xf>
    <xf numFmtId="177" fontId="23" fillId="0" borderId="55" xfId="0" applyNumberFormat="1" applyFont="1" applyBorder="1" applyAlignment="1">
      <alignment horizontal="center" vertical="center"/>
    </xf>
    <xf numFmtId="177" fontId="23" fillId="0" borderId="54" xfId="0" applyNumberFormat="1" applyFont="1" applyBorder="1" applyAlignment="1">
      <alignment horizontal="center" vertical="center"/>
    </xf>
    <xf numFmtId="177" fontId="23" fillId="0" borderId="56" xfId="0" applyNumberFormat="1" applyFont="1" applyBorder="1" applyAlignment="1">
      <alignment horizontal="center" vertical="center"/>
    </xf>
    <xf numFmtId="177" fontId="23" fillId="0" borderId="57" xfId="0" applyNumberFormat="1" applyFont="1" applyBorder="1" applyAlignment="1">
      <alignment horizontal="center" vertical="center"/>
    </xf>
    <xf numFmtId="177" fontId="23" fillId="0" borderId="58" xfId="0" applyNumberFormat="1" applyFont="1" applyBorder="1" applyAlignment="1">
      <alignment horizontal="center" vertical="center"/>
    </xf>
    <xf numFmtId="177" fontId="23" fillId="0" borderId="59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3" fillId="9" borderId="74" xfId="0" applyFont="1" applyFill="1" applyBorder="1" applyAlignment="1">
      <alignment horizontal="center" vertical="center"/>
    </xf>
    <xf numFmtId="0" fontId="23" fillId="9" borderId="75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vertical="center"/>
    </xf>
    <xf numFmtId="0" fontId="21" fillId="8" borderId="77" xfId="0" applyFont="1" applyFill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76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78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 wrapText="1"/>
    </xf>
    <xf numFmtId="0" fontId="23" fillId="10" borderId="49" xfId="0" applyFont="1" applyFill="1" applyBorder="1" applyAlignment="1">
      <alignment vertical="center"/>
    </xf>
    <xf numFmtId="0" fontId="23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vertical="center"/>
    </xf>
    <xf numFmtId="0" fontId="23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79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0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3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3" fillId="0" borderId="37" xfId="0" applyFont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1" xfId="0" applyFont="1" applyFill="1" applyBorder="1" applyAlignment="1">
      <alignment vertical="center"/>
    </xf>
    <xf numFmtId="20" fontId="21" fillId="0" borderId="36" xfId="0" applyNumberFormat="1" applyFont="1" applyBorder="1" applyAlignment="1">
      <alignment horizontal="center" vertical="center"/>
    </xf>
    <xf numFmtId="0" fontId="23" fillId="0" borderId="39" xfId="0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6" fillId="3" borderId="1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4" fillId="5" borderId="19" xfId="0" applyFont="1" applyFill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</cellXfs>
  <cellStyles count="1">
    <cellStyle name="標準" xfId="0" builtinId="0"/>
  </cellStyles>
  <dxfs count="1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C1" zoomScaleNormal="100" zoomScaleSheetLayoutView="100" workbookViewId="0">
      <pane ySplit="19" topLeftCell="A29" activePane="bottomLeft" state="frozen"/>
      <selection activeCell="Q4" sqref="Q4:S4"/>
      <selection pane="bottomLeft" activeCell="K17" sqref="K17"/>
    </sheetView>
  </sheetViews>
  <sheetFormatPr defaultColWidth="14.3984375" defaultRowHeight="15" customHeight="1" x14ac:dyDescent="0.45"/>
  <cols>
    <col min="1" max="1" width="7.3984375" style="60" hidden="1" customWidth="1"/>
    <col min="2" max="2" width="3.73046875" style="60" customWidth="1"/>
    <col min="3" max="24" width="8.73046875" style="60" customWidth="1"/>
    <col min="25" max="32" width="8.73046875" style="56" customWidth="1"/>
    <col min="33" max="33" width="8.73046875" style="57" customWidth="1"/>
    <col min="34" max="34" width="8.73046875" style="60" customWidth="1"/>
    <col min="35" max="35" width="3.73046875" style="60" customWidth="1"/>
    <col min="36" max="45" width="7.73046875" style="60" customWidth="1"/>
    <col min="46" max="16384" width="14.3984375" style="60"/>
  </cols>
  <sheetData>
    <row r="1" spans="1:35" ht="17.100000000000001" customHeight="1" thickBot="1" x14ac:dyDescent="0.5"/>
    <row r="2" spans="1:35" ht="24.95" customHeight="1" x14ac:dyDescent="0.45">
      <c r="A2" s="58"/>
      <c r="B2" s="59"/>
      <c r="C2" s="165" t="s">
        <v>18</v>
      </c>
      <c r="D2" s="166"/>
      <c r="E2" s="166"/>
      <c r="F2" s="166"/>
      <c r="G2" s="166"/>
      <c r="H2" s="166"/>
      <c r="I2" s="166"/>
      <c r="J2" s="166"/>
      <c r="K2" s="166"/>
      <c r="M2" s="167" t="s">
        <v>19</v>
      </c>
      <c r="N2" s="168"/>
      <c r="O2" s="167">
        <v>2024</v>
      </c>
      <c r="P2" s="168"/>
      <c r="Q2" s="61" t="s">
        <v>20</v>
      </c>
      <c r="R2" s="61">
        <v>12</v>
      </c>
      <c r="S2" s="60" t="s">
        <v>21</v>
      </c>
      <c r="T2" s="61"/>
      <c r="U2" s="61"/>
      <c r="V2" s="61"/>
      <c r="W2" s="134"/>
      <c r="X2" s="135" t="s">
        <v>89</v>
      </c>
      <c r="Y2" s="120"/>
      <c r="Z2" s="120"/>
      <c r="AA2" s="120"/>
      <c r="AB2" s="120"/>
      <c r="AC2" s="120"/>
      <c r="AD2" s="120"/>
      <c r="AE2" s="121"/>
      <c r="AF2" s="121"/>
      <c r="AG2" s="122"/>
      <c r="AI2" s="62"/>
    </row>
    <row r="3" spans="1:35" ht="17.100000000000001" customHeight="1" thickBot="1" x14ac:dyDescent="0.5">
      <c r="C3" s="63" t="s">
        <v>2</v>
      </c>
      <c r="D3" s="61"/>
      <c r="E3" s="61"/>
      <c r="F3" s="61"/>
      <c r="J3" s="61"/>
      <c r="K3" s="61"/>
      <c r="Q3" s="169" t="s">
        <v>23</v>
      </c>
      <c r="R3" s="168"/>
      <c r="S3" s="64" t="str">
        <f>COUNTA(E20:E50)&amp;"日"</f>
        <v>20日</v>
      </c>
      <c r="T3" s="61"/>
      <c r="U3" s="61"/>
      <c r="V3" s="61"/>
      <c r="W3" s="136"/>
      <c r="X3" s="124" t="s">
        <v>108</v>
      </c>
      <c r="Y3" s="124"/>
      <c r="Z3" s="124"/>
      <c r="AA3" s="124"/>
      <c r="AB3" s="124"/>
      <c r="AC3" s="124"/>
      <c r="AD3" s="124"/>
      <c r="AE3" s="125"/>
      <c r="AF3" s="125"/>
      <c r="AG3" s="126"/>
    </row>
    <row r="4" spans="1:35" ht="17.100000000000001" customHeight="1" thickTop="1" x14ac:dyDescent="0.45">
      <c r="B4" s="65"/>
      <c r="C4" s="170" t="s">
        <v>24</v>
      </c>
      <c r="D4" s="171"/>
      <c r="E4" s="172"/>
      <c r="F4" s="173" t="s">
        <v>114</v>
      </c>
      <c r="G4" s="174"/>
      <c r="H4" s="174"/>
      <c r="I4" s="174"/>
      <c r="J4" s="174"/>
      <c r="K4" s="174"/>
      <c r="L4" s="174"/>
      <c r="M4" s="174"/>
      <c r="N4" s="175" t="s">
        <v>25</v>
      </c>
      <c r="O4" s="171"/>
      <c r="P4" s="171"/>
      <c r="Q4" s="176" t="s">
        <v>111</v>
      </c>
      <c r="R4" s="174"/>
      <c r="S4" s="177"/>
      <c r="T4" s="61"/>
      <c r="U4" s="61"/>
      <c r="V4" s="61"/>
      <c r="W4" s="136"/>
      <c r="X4" s="124"/>
      <c r="Y4" s="124" t="s">
        <v>109</v>
      </c>
      <c r="Z4" s="124"/>
      <c r="AA4" s="124"/>
      <c r="AB4" s="124"/>
      <c r="AC4" s="124"/>
      <c r="AD4" s="124"/>
      <c r="AE4" s="125"/>
      <c r="AF4" s="125"/>
      <c r="AG4" s="126"/>
    </row>
    <row r="5" spans="1:35" ht="17.100000000000001" customHeight="1" x14ac:dyDescent="0.45">
      <c r="B5" s="65"/>
      <c r="C5" s="178" t="s">
        <v>26</v>
      </c>
      <c r="D5" s="158"/>
      <c r="E5" s="159"/>
      <c r="F5" s="162" t="s">
        <v>118</v>
      </c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9"/>
      <c r="T5" s="61"/>
      <c r="U5" s="68"/>
      <c r="V5" s="68"/>
      <c r="W5" s="137"/>
      <c r="X5" s="124"/>
      <c r="Y5" s="124"/>
      <c r="Z5" s="124"/>
      <c r="AA5" s="124"/>
      <c r="AB5" s="124"/>
      <c r="AC5" s="124"/>
      <c r="AD5" s="124"/>
      <c r="AE5" s="127"/>
      <c r="AF5" s="127"/>
      <c r="AG5" s="128"/>
    </row>
    <row r="6" spans="1:35" ht="17.100000000000001" customHeight="1" x14ac:dyDescent="0.45">
      <c r="B6" s="65"/>
      <c r="C6" s="180" t="s">
        <v>27</v>
      </c>
      <c r="D6" s="181"/>
      <c r="E6" s="182"/>
      <c r="F6" s="162" t="s">
        <v>116</v>
      </c>
      <c r="G6" s="163"/>
      <c r="H6" s="163"/>
      <c r="I6" s="163"/>
      <c r="J6" s="163"/>
      <c r="K6" s="163"/>
      <c r="L6" s="163"/>
      <c r="M6" s="164"/>
      <c r="N6" s="110" t="s">
        <v>28</v>
      </c>
      <c r="O6" s="183" t="s">
        <v>117</v>
      </c>
      <c r="P6" s="163"/>
      <c r="Q6" s="163"/>
      <c r="R6" s="163"/>
      <c r="S6" s="179"/>
      <c r="T6" s="61"/>
      <c r="U6" s="68"/>
      <c r="V6" s="70"/>
      <c r="W6" s="137"/>
      <c r="X6" s="124" t="s">
        <v>90</v>
      </c>
      <c r="Y6" s="124"/>
      <c r="Z6" s="124"/>
      <c r="AA6" s="124"/>
      <c r="AB6" s="124"/>
      <c r="AC6" s="124"/>
      <c r="AD6" s="124"/>
      <c r="AE6" s="124"/>
      <c r="AF6" s="124"/>
      <c r="AG6" s="129"/>
    </row>
    <row r="7" spans="1:35" ht="17.100000000000001" customHeight="1" x14ac:dyDescent="0.45">
      <c r="B7" s="72"/>
      <c r="C7" s="157" t="s">
        <v>106</v>
      </c>
      <c r="D7" s="158"/>
      <c r="E7" s="159"/>
      <c r="F7" s="160" t="s">
        <v>112</v>
      </c>
      <c r="G7" s="161"/>
      <c r="H7" s="161"/>
      <c r="I7" s="161"/>
      <c r="J7" s="161"/>
      <c r="K7" s="161"/>
      <c r="L7" s="161"/>
      <c r="M7" s="161"/>
      <c r="N7" s="110" t="s">
        <v>31</v>
      </c>
      <c r="O7" s="162"/>
      <c r="P7" s="163"/>
      <c r="Q7" s="164"/>
      <c r="R7" s="110" t="s">
        <v>32</v>
      </c>
      <c r="S7" s="73"/>
      <c r="T7" s="61"/>
      <c r="U7" s="68"/>
      <c r="V7" s="133"/>
      <c r="W7" s="138"/>
      <c r="X7" s="124"/>
      <c r="Y7" s="124" t="s">
        <v>104</v>
      </c>
      <c r="Z7" s="124"/>
      <c r="AA7" s="124"/>
      <c r="AB7" s="124"/>
      <c r="AC7" s="124"/>
      <c r="AD7" s="124"/>
      <c r="AE7" s="124"/>
      <c r="AF7" s="124"/>
      <c r="AG7" s="126"/>
    </row>
    <row r="8" spans="1:35" ht="17.100000000000001" customHeight="1" x14ac:dyDescent="0.45">
      <c r="B8" s="74"/>
      <c r="C8" s="190" t="s">
        <v>33</v>
      </c>
      <c r="D8" s="191"/>
      <c r="E8" s="192"/>
      <c r="F8" s="197" t="s">
        <v>115</v>
      </c>
      <c r="G8" s="198"/>
      <c r="H8" s="198"/>
      <c r="I8" s="198"/>
      <c r="J8" s="198"/>
      <c r="K8" s="198"/>
      <c r="L8" s="199"/>
      <c r="M8" s="205" t="s">
        <v>34</v>
      </c>
      <c r="N8" s="191"/>
      <c r="O8" s="183" t="s">
        <v>0</v>
      </c>
      <c r="P8" s="163"/>
      <c r="Q8" s="163"/>
      <c r="R8" s="183" t="s">
        <v>1</v>
      </c>
      <c r="S8" s="179"/>
      <c r="T8" s="69" t="s">
        <v>35</v>
      </c>
      <c r="U8" s="75"/>
      <c r="V8" s="68"/>
      <c r="W8" s="139"/>
      <c r="X8" s="124"/>
      <c r="Y8" s="124" t="s">
        <v>105</v>
      </c>
      <c r="Z8" s="124"/>
      <c r="AA8" s="124"/>
      <c r="AB8" s="124"/>
      <c r="AC8" s="124"/>
      <c r="AD8" s="124"/>
      <c r="AE8" s="124"/>
      <c r="AF8" s="124"/>
      <c r="AG8" s="126"/>
    </row>
    <row r="9" spans="1:35" ht="17.100000000000001" customHeight="1" x14ac:dyDescent="0.45">
      <c r="B9" s="74"/>
      <c r="C9" s="193"/>
      <c r="D9" s="194"/>
      <c r="E9" s="195"/>
      <c r="F9" s="200"/>
      <c r="G9" s="201"/>
      <c r="H9" s="201"/>
      <c r="I9" s="201"/>
      <c r="J9" s="201"/>
      <c r="K9" s="201"/>
      <c r="L9" s="202"/>
      <c r="M9" s="206"/>
      <c r="N9" s="194"/>
      <c r="O9" s="76">
        <v>0.4375</v>
      </c>
      <c r="P9" s="77" t="s">
        <v>36</v>
      </c>
      <c r="Q9" s="78">
        <v>0.79166666666666663</v>
      </c>
      <c r="R9" s="209" t="s">
        <v>119</v>
      </c>
      <c r="S9" s="210"/>
      <c r="T9" s="79" t="e">
        <f t="shared" ref="T9:T13" si="0">Q9-O9-R9</f>
        <v>#VALUE!</v>
      </c>
      <c r="U9" s="75"/>
      <c r="V9" s="75"/>
      <c r="W9" s="123"/>
      <c r="X9" s="124"/>
      <c r="Y9" s="124" t="s">
        <v>91</v>
      </c>
      <c r="Z9" s="124"/>
      <c r="AA9" s="124"/>
      <c r="AB9" s="124"/>
      <c r="AC9" s="124"/>
      <c r="AD9" s="124"/>
      <c r="AE9" s="124"/>
      <c r="AF9" s="124"/>
      <c r="AG9" s="126"/>
    </row>
    <row r="10" spans="1:35" ht="17.100000000000001" customHeight="1" x14ac:dyDescent="0.45">
      <c r="B10" s="74"/>
      <c r="C10" s="193"/>
      <c r="D10" s="194"/>
      <c r="E10" s="195"/>
      <c r="F10" s="200"/>
      <c r="G10" s="201"/>
      <c r="H10" s="201"/>
      <c r="I10" s="201"/>
      <c r="J10" s="201"/>
      <c r="K10" s="201"/>
      <c r="L10" s="202"/>
      <c r="M10" s="206"/>
      <c r="N10" s="194"/>
      <c r="O10" s="80"/>
      <c r="P10" s="81" t="s">
        <v>36</v>
      </c>
      <c r="Q10" s="82"/>
      <c r="R10" s="211"/>
      <c r="S10" s="217"/>
      <c r="T10" s="79">
        <f t="shared" si="0"/>
        <v>0</v>
      </c>
      <c r="U10" s="75"/>
      <c r="V10" s="75"/>
      <c r="W10" s="123"/>
      <c r="X10" s="124"/>
      <c r="Y10" s="125"/>
      <c r="Z10" s="125"/>
      <c r="AA10" s="124"/>
      <c r="AB10" s="124"/>
      <c r="AC10" s="124"/>
      <c r="AD10" s="125"/>
      <c r="AE10" s="125"/>
      <c r="AF10" s="125"/>
      <c r="AG10" s="126"/>
    </row>
    <row r="11" spans="1:35" ht="17.100000000000001" customHeight="1" x14ac:dyDescent="0.45">
      <c r="B11" s="74"/>
      <c r="C11" s="193"/>
      <c r="D11" s="194"/>
      <c r="E11" s="195"/>
      <c r="F11" s="200"/>
      <c r="G11" s="201"/>
      <c r="H11" s="201"/>
      <c r="I11" s="201"/>
      <c r="J11" s="201"/>
      <c r="K11" s="201"/>
      <c r="L11" s="202"/>
      <c r="M11" s="206"/>
      <c r="N11" s="194"/>
      <c r="O11" s="80"/>
      <c r="P11" s="81" t="s">
        <v>36</v>
      </c>
      <c r="Q11" s="82"/>
      <c r="R11" s="211"/>
      <c r="S11" s="212"/>
      <c r="T11" s="79">
        <f t="shared" si="0"/>
        <v>0</v>
      </c>
      <c r="U11" s="68"/>
      <c r="V11" s="68"/>
      <c r="W11" s="136"/>
      <c r="X11" s="124" t="s">
        <v>92</v>
      </c>
      <c r="Y11" s="124"/>
      <c r="Z11" s="124"/>
      <c r="AA11" s="124"/>
      <c r="AB11" s="124"/>
      <c r="AC11" s="124"/>
      <c r="AD11" s="125"/>
      <c r="AE11" s="125"/>
      <c r="AF11" s="125"/>
      <c r="AG11" s="126"/>
    </row>
    <row r="12" spans="1:35" ht="17.100000000000001" customHeight="1" x14ac:dyDescent="0.45">
      <c r="B12" s="74"/>
      <c r="C12" s="193"/>
      <c r="D12" s="194"/>
      <c r="E12" s="195"/>
      <c r="F12" s="200"/>
      <c r="G12" s="201"/>
      <c r="H12" s="201"/>
      <c r="I12" s="201"/>
      <c r="J12" s="201"/>
      <c r="K12" s="201"/>
      <c r="L12" s="202"/>
      <c r="M12" s="206"/>
      <c r="N12" s="194"/>
      <c r="O12" s="80"/>
      <c r="P12" s="81" t="s">
        <v>36</v>
      </c>
      <c r="Q12" s="82"/>
      <c r="R12" s="211"/>
      <c r="S12" s="212"/>
      <c r="T12" s="79">
        <f t="shared" si="0"/>
        <v>0</v>
      </c>
      <c r="U12" s="68"/>
      <c r="V12" s="68"/>
      <c r="W12" s="136"/>
      <c r="X12" s="124"/>
      <c r="Y12" s="124" t="s">
        <v>95</v>
      </c>
      <c r="Z12" s="124"/>
      <c r="AA12" s="125"/>
      <c r="AB12" s="125"/>
      <c r="AC12" s="125"/>
      <c r="AD12" s="125"/>
      <c r="AE12" s="125"/>
      <c r="AF12" s="125"/>
      <c r="AG12" s="126"/>
    </row>
    <row r="13" spans="1:35" ht="17.100000000000001" customHeight="1" x14ac:dyDescent="0.45">
      <c r="B13" s="74"/>
      <c r="C13" s="196"/>
      <c r="D13" s="158"/>
      <c r="E13" s="159"/>
      <c r="F13" s="203"/>
      <c r="G13" s="203"/>
      <c r="H13" s="203"/>
      <c r="I13" s="203"/>
      <c r="J13" s="203"/>
      <c r="K13" s="203"/>
      <c r="L13" s="204"/>
      <c r="M13" s="206"/>
      <c r="N13" s="194"/>
      <c r="O13" s="84"/>
      <c r="P13" s="85" t="s">
        <v>36</v>
      </c>
      <c r="Q13" s="86"/>
      <c r="R13" s="213"/>
      <c r="S13" s="214"/>
      <c r="T13" s="79">
        <f t="shared" si="0"/>
        <v>0</v>
      </c>
      <c r="U13" s="68"/>
      <c r="V13" s="68"/>
      <c r="W13" s="136"/>
      <c r="X13" s="124"/>
      <c r="Y13" s="125"/>
      <c r="Z13" s="124" t="s">
        <v>94</v>
      </c>
      <c r="AA13" s="124"/>
      <c r="AB13" s="124"/>
      <c r="AC13" s="124"/>
      <c r="AD13" s="124"/>
      <c r="AE13" s="124"/>
      <c r="AF13" s="124"/>
      <c r="AG13" s="126"/>
    </row>
    <row r="14" spans="1:35" ht="17.100000000000001" customHeight="1" thickBot="1" x14ac:dyDescent="0.5">
      <c r="B14" s="74" t="s">
        <v>37</v>
      </c>
      <c r="C14" s="190" t="s">
        <v>37</v>
      </c>
      <c r="D14" s="191"/>
      <c r="E14" s="192"/>
      <c r="F14" s="197" t="s">
        <v>110</v>
      </c>
      <c r="G14" s="198"/>
      <c r="H14" s="198"/>
      <c r="I14" s="198"/>
      <c r="J14" s="198"/>
      <c r="K14" s="198"/>
      <c r="L14" s="199"/>
      <c r="M14" s="206"/>
      <c r="N14" s="194"/>
      <c r="O14" s="183" t="s">
        <v>38</v>
      </c>
      <c r="P14" s="163"/>
      <c r="Q14" s="163"/>
      <c r="R14" s="164"/>
      <c r="S14" s="87"/>
      <c r="T14" s="61"/>
      <c r="U14" s="68"/>
      <c r="V14" s="68"/>
      <c r="W14" s="140"/>
      <c r="X14" s="131"/>
      <c r="Y14" s="130"/>
      <c r="Z14" s="131" t="s">
        <v>93</v>
      </c>
      <c r="AA14" s="131"/>
      <c r="AB14" s="130"/>
      <c r="AC14" s="131"/>
      <c r="AD14" s="131"/>
      <c r="AE14" s="131"/>
      <c r="AF14" s="131"/>
      <c r="AG14" s="132"/>
    </row>
    <row r="15" spans="1:35" ht="17.100000000000001" customHeight="1" thickBot="1" x14ac:dyDescent="0.5">
      <c r="B15" s="74"/>
      <c r="C15" s="215"/>
      <c r="D15" s="208"/>
      <c r="E15" s="216"/>
      <c r="F15" s="218"/>
      <c r="G15" s="218"/>
      <c r="H15" s="218"/>
      <c r="I15" s="218"/>
      <c r="J15" s="218"/>
      <c r="K15" s="218"/>
      <c r="L15" s="219"/>
      <c r="M15" s="207"/>
      <c r="N15" s="208"/>
      <c r="O15" s="220" t="s">
        <v>39</v>
      </c>
      <c r="P15" s="221"/>
      <c r="Q15" s="221"/>
      <c r="R15" s="222"/>
      <c r="S15" s="89"/>
      <c r="T15" s="61"/>
      <c r="U15" s="68"/>
      <c r="V15" s="68"/>
      <c r="W15" s="83"/>
    </row>
    <row r="16" spans="1:35" s="90" customFormat="1" ht="17.100000000000001" customHeight="1" thickTop="1" x14ac:dyDescent="0.45">
      <c r="J16" s="91"/>
      <c r="K16" s="92"/>
      <c r="T16" s="92"/>
      <c r="U16" s="92"/>
      <c r="V16" s="92"/>
      <c r="Y16" s="156" t="s">
        <v>103</v>
      </c>
      <c r="Z16" s="156"/>
      <c r="AA16" s="156"/>
      <c r="AB16" s="156"/>
      <c r="AC16" s="156"/>
      <c r="AD16" s="156"/>
      <c r="AE16" s="156"/>
      <c r="AF16" s="156"/>
      <c r="AG16" s="156"/>
      <c r="AH16" s="60"/>
    </row>
    <row r="17" spans="1:34" s="90" customFormat="1" ht="17.100000000000001" customHeight="1" thickBot="1" x14ac:dyDescent="0.5">
      <c r="C17" s="92" t="s">
        <v>88</v>
      </c>
      <c r="D17" s="94"/>
      <c r="E17" s="95">
        <v>0.375</v>
      </c>
      <c r="F17" s="95">
        <v>0.76041666666666663</v>
      </c>
      <c r="G17" s="96">
        <v>0.5</v>
      </c>
      <c r="I17" s="96">
        <v>0.54166666666666663</v>
      </c>
      <c r="J17" s="91"/>
      <c r="K17" s="92"/>
      <c r="T17" s="92"/>
      <c r="U17" s="92"/>
      <c r="V17" s="92"/>
      <c r="X17" s="92" t="s">
        <v>88</v>
      </c>
      <c r="Y17" s="95">
        <v>0.5</v>
      </c>
      <c r="Z17" s="95">
        <v>0.54166666666666663</v>
      </c>
      <c r="AA17" s="95">
        <v>0.71875</v>
      </c>
      <c r="AB17" s="95">
        <v>0.72916666666666663</v>
      </c>
      <c r="AC17" s="95">
        <v>0.77083333333333337</v>
      </c>
      <c r="AD17" s="95">
        <v>0.79166666666666663</v>
      </c>
      <c r="AE17" s="95">
        <v>0.89583333333333337</v>
      </c>
      <c r="AF17" s="95">
        <v>0.91666666666666663</v>
      </c>
      <c r="AG17" s="93"/>
      <c r="AH17" s="60"/>
    </row>
    <row r="18" spans="1:34" s="90" customFormat="1" ht="17.100000000000001" customHeight="1" thickBot="1" x14ac:dyDescent="0.5">
      <c r="J18" s="91"/>
      <c r="K18" s="92"/>
      <c r="T18" s="92"/>
      <c r="U18" s="92"/>
      <c r="V18" s="92"/>
      <c r="Y18" s="154" t="s">
        <v>96</v>
      </c>
      <c r="Z18" s="155"/>
      <c r="AA18" s="154" t="s">
        <v>97</v>
      </c>
      <c r="AB18" s="155"/>
      <c r="AC18" s="154" t="s">
        <v>98</v>
      </c>
      <c r="AD18" s="155"/>
      <c r="AE18" s="154" t="s">
        <v>99</v>
      </c>
      <c r="AF18" s="155"/>
      <c r="AG18" s="97"/>
    </row>
    <row r="19" spans="1:34" ht="30" customHeight="1" thickTop="1" thickBot="1" x14ac:dyDescent="0.5">
      <c r="A19" s="60" t="s">
        <v>40</v>
      </c>
      <c r="B19" s="61"/>
      <c r="C19" s="111" t="s">
        <v>42</v>
      </c>
      <c r="D19" s="112" t="s">
        <v>43</v>
      </c>
      <c r="E19" s="113" t="s">
        <v>44</v>
      </c>
      <c r="F19" s="114" t="s">
        <v>45</v>
      </c>
      <c r="G19" s="184" t="s">
        <v>107</v>
      </c>
      <c r="H19" s="185"/>
      <c r="I19" s="186"/>
      <c r="J19" s="115" t="s">
        <v>47</v>
      </c>
      <c r="K19" s="111" t="s">
        <v>48</v>
      </c>
      <c r="L19" s="111" t="s">
        <v>49</v>
      </c>
      <c r="M19" s="111" t="s">
        <v>50</v>
      </c>
      <c r="N19" s="116" t="s">
        <v>51</v>
      </c>
      <c r="O19" s="187" t="s">
        <v>52</v>
      </c>
      <c r="P19" s="188"/>
      <c r="Q19" s="188"/>
      <c r="R19" s="188"/>
      <c r="S19" s="189"/>
      <c r="T19" s="115" t="s">
        <v>53</v>
      </c>
      <c r="U19" s="111" t="s">
        <v>54</v>
      </c>
      <c r="V19" s="111" t="s">
        <v>55</v>
      </c>
      <c r="W19" s="111" t="s">
        <v>56</v>
      </c>
      <c r="X19" s="71"/>
      <c r="Y19" s="117" t="s">
        <v>100</v>
      </c>
      <c r="Z19" s="118" t="s">
        <v>101</v>
      </c>
      <c r="AA19" s="118" t="s">
        <v>100</v>
      </c>
      <c r="AB19" s="118" t="s">
        <v>101</v>
      </c>
      <c r="AC19" s="118" t="s">
        <v>100</v>
      </c>
      <c r="AD19" s="118" t="s">
        <v>101</v>
      </c>
      <c r="AE19" s="118" t="s">
        <v>100</v>
      </c>
      <c r="AF19" s="118" t="s">
        <v>101</v>
      </c>
      <c r="AG19" s="119" t="s">
        <v>102</v>
      </c>
    </row>
    <row r="20" spans="1:34" ht="17.100000000000001" customHeight="1" x14ac:dyDescent="0.45">
      <c r="A20" s="60">
        <f>IF(COUNTIFS(祝日参照用!A:A,C20)=1,1,IF(D20="土",1,IF(D20="日",1,0)))</f>
        <v>1</v>
      </c>
      <c r="C20" s="98">
        <f>IFERROR(DATE(O2,R2,1),"")</f>
        <v>45627</v>
      </c>
      <c r="D20" s="99" t="str">
        <f t="shared" ref="D20:D50" si="1">TEXT(C20,"aaa")</f>
        <v>日</v>
      </c>
      <c r="E20" s="100"/>
      <c r="F20" s="101"/>
      <c r="G20" s="102"/>
      <c r="H20" s="102"/>
      <c r="I20" s="103"/>
      <c r="J20" s="104"/>
      <c r="K20" s="102"/>
      <c r="L20" s="102"/>
      <c r="M20" s="102"/>
      <c r="N20" s="99"/>
      <c r="O20" s="153"/>
      <c r="P20" s="66"/>
      <c r="Q20" s="66"/>
      <c r="R20" s="66"/>
      <c r="S20" s="67"/>
      <c r="T20" s="104"/>
      <c r="U20" s="101"/>
      <c r="V20" s="102"/>
      <c r="W20" s="102"/>
      <c r="X20" s="105"/>
      <c r="Y20" s="144"/>
      <c r="Z20" s="145"/>
      <c r="AA20" s="145"/>
      <c r="AB20" s="145"/>
      <c r="AC20" s="145"/>
      <c r="AD20" s="145"/>
      <c r="AE20" s="145"/>
      <c r="AF20" s="145"/>
      <c r="AG20" s="146">
        <f>(Z20-Y20)+(AB20-AA20)+(AD20-AC20)+(AF20-AE20)</f>
        <v>0</v>
      </c>
    </row>
    <row r="21" spans="1:34" ht="17.100000000000001" customHeight="1" x14ac:dyDescent="0.45">
      <c r="A21" s="60">
        <f>IF(COUNTIFS(祝日参照用!A:A,C21)=1,1,IF(D21="土",1,IF(D21="日",1,0)))</f>
        <v>0</v>
      </c>
      <c r="C21" s="98">
        <f t="shared" ref="C21:C50" si="2">IF(C20="","",IF(DAY(C20+1)=1,"",C20+1))</f>
        <v>45628</v>
      </c>
      <c r="D21" s="99" t="str">
        <f t="shared" si="1"/>
        <v>月</v>
      </c>
      <c r="E21" s="100">
        <v>0.4375</v>
      </c>
      <c r="F21" s="101">
        <v>0.79166666666666663</v>
      </c>
      <c r="G21" s="102">
        <v>0.54166666666666663</v>
      </c>
      <c r="H21" s="102" t="s">
        <v>36</v>
      </c>
      <c r="I21" s="103">
        <v>0.58333333333333337</v>
      </c>
      <c r="J21" s="104">
        <f t="shared" ref="J21:J46" si="3">IFERROR(IF(G21="",0,I21-G21),"")</f>
        <v>4.1666666666666741E-2</v>
      </c>
      <c r="K21" s="102">
        <f t="shared" ref="K21:K46" si="4">IFERROR(IF(E21="",0,F21-E21-J21),"")</f>
        <v>0.31249999999999989</v>
      </c>
      <c r="L21" s="102"/>
      <c r="M21" s="141"/>
      <c r="N21" s="99"/>
      <c r="O21" s="153" t="s">
        <v>113</v>
      </c>
      <c r="P21" s="66"/>
      <c r="Q21" s="66"/>
      <c r="R21" s="66"/>
      <c r="S21" s="67"/>
      <c r="T21" s="104">
        <f t="shared" ref="T21:U46" si="5">E21</f>
        <v>0.4375</v>
      </c>
      <c r="U21" s="101">
        <f t="shared" si="5"/>
        <v>0.79166666666666663</v>
      </c>
      <c r="V21" s="102">
        <f t="shared" ref="V21:V46" si="6">IFERROR(IF(T21="",0,U21-T21-J21),"")</f>
        <v>0.31249999999999989</v>
      </c>
      <c r="W21" s="102" t="str">
        <f>IFERROR(FLOOR(K21,TIME(0,VLOOKUP($C$3,#REF!,22,0),0)),"")</f>
        <v/>
      </c>
      <c r="X21" s="105"/>
      <c r="Y21" s="147"/>
      <c r="Z21" s="148"/>
      <c r="AA21" s="148"/>
      <c r="AB21" s="148"/>
      <c r="AC21" s="148"/>
      <c r="AD21" s="148"/>
      <c r="AE21" s="148"/>
      <c r="AF21" s="148"/>
      <c r="AG21" s="149">
        <f t="shared" ref="AG21:AG50" si="7">(Z21-Y21)+(AB21-AA21)+(AD21-AC21)+(AF21-AE21)</f>
        <v>0</v>
      </c>
    </row>
    <row r="22" spans="1:34" ht="17.100000000000001" customHeight="1" x14ac:dyDescent="0.45">
      <c r="A22" s="60">
        <f>IF(COUNTIFS(祝日参照用!A:A,C22)=1,1,IF(D22="土",1,IF(D22="日",1,0)))</f>
        <v>0</v>
      </c>
      <c r="C22" s="98">
        <f t="shared" si="2"/>
        <v>45629</v>
      </c>
      <c r="D22" s="99" t="str">
        <f t="shared" si="1"/>
        <v>火</v>
      </c>
      <c r="E22" s="100">
        <v>0.4375</v>
      </c>
      <c r="F22" s="101">
        <v>0.79166666666666663</v>
      </c>
      <c r="G22" s="102">
        <v>0.54166666666666663</v>
      </c>
      <c r="H22" s="102" t="s">
        <v>36</v>
      </c>
      <c r="I22" s="103">
        <v>0.58333333333333337</v>
      </c>
      <c r="J22" s="104">
        <f t="shared" si="3"/>
        <v>4.1666666666666741E-2</v>
      </c>
      <c r="K22" s="102">
        <f t="shared" si="4"/>
        <v>0.31249999999999989</v>
      </c>
      <c r="L22" s="102"/>
      <c r="M22" s="141"/>
      <c r="N22" s="99"/>
      <c r="O22" s="153" t="s">
        <v>113</v>
      </c>
      <c r="P22" s="66"/>
      <c r="Q22" s="66"/>
      <c r="R22" s="66"/>
      <c r="S22" s="67"/>
      <c r="T22" s="104">
        <f t="shared" si="5"/>
        <v>0.4375</v>
      </c>
      <c r="U22" s="101">
        <f t="shared" si="5"/>
        <v>0.79166666666666663</v>
      </c>
      <c r="V22" s="102">
        <f t="shared" si="6"/>
        <v>0.31249999999999989</v>
      </c>
      <c r="W22" s="102" t="str">
        <f>IFERROR(FLOOR(K22,TIME(0,VLOOKUP($C$3,#REF!,22,0),0)),"")</f>
        <v/>
      </c>
      <c r="X22" s="105"/>
      <c r="Y22" s="147"/>
      <c r="Z22" s="148"/>
      <c r="AA22" s="148"/>
      <c r="AB22" s="148"/>
      <c r="AC22" s="148"/>
      <c r="AD22" s="148"/>
      <c r="AE22" s="148"/>
      <c r="AF22" s="148"/>
      <c r="AG22" s="149">
        <f t="shared" si="7"/>
        <v>0</v>
      </c>
    </row>
    <row r="23" spans="1:34" ht="17.100000000000001" customHeight="1" x14ac:dyDescent="0.45">
      <c r="A23" s="60">
        <f>IF(COUNTIFS(祝日参照用!A:A,C23)=1,1,IF(D23="土",1,IF(D23="日",1,0)))</f>
        <v>0</v>
      </c>
      <c r="C23" s="98">
        <f t="shared" si="2"/>
        <v>45630</v>
      </c>
      <c r="D23" s="99" t="str">
        <f t="shared" si="1"/>
        <v>水</v>
      </c>
      <c r="E23" s="100">
        <v>0.4375</v>
      </c>
      <c r="F23" s="101">
        <v>0.79166666666666663</v>
      </c>
      <c r="G23" s="102">
        <v>0.54166666666666663</v>
      </c>
      <c r="H23" s="102" t="s">
        <v>36</v>
      </c>
      <c r="I23" s="103">
        <v>0.58333333333333337</v>
      </c>
      <c r="J23" s="104">
        <f t="shared" si="3"/>
        <v>4.1666666666666741E-2</v>
      </c>
      <c r="K23" s="102">
        <f t="shared" si="4"/>
        <v>0.31249999999999989</v>
      </c>
      <c r="L23" s="102"/>
      <c r="M23" s="141"/>
      <c r="N23" s="99"/>
      <c r="O23" s="153" t="s">
        <v>113</v>
      </c>
      <c r="P23" s="66"/>
      <c r="Q23" s="66"/>
      <c r="R23" s="66"/>
      <c r="S23" s="67"/>
      <c r="T23" s="104">
        <f t="shared" si="5"/>
        <v>0.4375</v>
      </c>
      <c r="U23" s="101">
        <f t="shared" si="5"/>
        <v>0.79166666666666663</v>
      </c>
      <c r="V23" s="102">
        <f t="shared" si="6"/>
        <v>0.31249999999999989</v>
      </c>
      <c r="W23" s="102" t="str">
        <f>IFERROR(FLOOR(K23,TIME(0,VLOOKUP($C$3,#REF!,22,0),0)),"")</f>
        <v/>
      </c>
      <c r="X23" s="105"/>
      <c r="Y23" s="147"/>
      <c r="Z23" s="148"/>
      <c r="AA23" s="148"/>
      <c r="AB23" s="148"/>
      <c r="AC23" s="148"/>
      <c r="AD23" s="148"/>
      <c r="AE23" s="148"/>
      <c r="AF23" s="148"/>
      <c r="AG23" s="149">
        <f t="shared" si="7"/>
        <v>0</v>
      </c>
    </row>
    <row r="24" spans="1:34" ht="17.100000000000001" customHeight="1" x14ac:dyDescent="0.45">
      <c r="A24" s="60">
        <f>IF(COUNTIFS(祝日参照用!A:A,C24)=1,1,IF(D24="土",1,IF(D24="日",1,0)))</f>
        <v>0</v>
      </c>
      <c r="C24" s="98">
        <f t="shared" si="2"/>
        <v>45631</v>
      </c>
      <c r="D24" s="99" t="str">
        <f t="shared" si="1"/>
        <v>木</v>
      </c>
      <c r="E24" s="100">
        <v>0.4375</v>
      </c>
      <c r="F24" s="101">
        <v>0.79166666666666663</v>
      </c>
      <c r="G24" s="102">
        <v>0.54166666666666663</v>
      </c>
      <c r="H24" s="102" t="s">
        <v>36</v>
      </c>
      <c r="I24" s="103">
        <v>0.58333333333333337</v>
      </c>
      <c r="J24" s="104">
        <f t="shared" si="3"/>
        <v>4.1666666666666741E-2</v>
      </c>
      <c r="K24" s="102">
        <f t="shared" si="4"/>
        <v>0.31249999999999989</v>
      </c>
      <c r="L24" s="102"/>
      <c r="M24" s="141"/>
      <c r="N24" s="99"/>
      <c r="O24" s="153" t="s">
        <v>113</v>
      </c>
      <c r="P24" s="66"/>
      <c r="Q24" s="66"/>
      <c r="R24" s="66"/>
      <c r="S24" s="67"/>
      <c r="T24" s="104">
        <f t="shared" si="5"/>
        <v>0.4375</v>
      </c>
      <c r="U24" s="101">
        <f t="shared" si="5"/>
        <v>0.79166666666666663</v>
      </c>
      <c r="V24" s="102">
        <f t="shared" si="6"/>
        <v>0.31249999999999989</v>
      </c>
      <c r="W24" s="102" t="str">
        <f>IFERROR(FLOOR(K24,TIME(0,VLOOKUP($C$3,#REF!,22,0),0)),"")</f>
        <v/>
      </c>
      <c r="X24" s="105"/>
      <c r="Y24" s="147"/>
      <c r="Z24" s="148"/>
      <c r="AA24" s="148"/>
      <c r="AB24" s="148"/>
      <c r="AC24" s="148"/>
      <c r="AD24" s="148"/>
      <c r="AE24" s="148"/>
      <c r="AF24" s="148"/>
      <c r="AG24" s="149">
        <f t="shared" si="7"/>
        <v>0</v>
      </c>
    </row>
    <row r="25" spans="1:34" ht="17.100000000000001" customHeight="1" x14ac:dyDescent="0.45">
      <c r="A25" s="60">
        <f>IF(COUNTIFS(祝日参照用!A:A,C25)=1,1,IF(D25="土",1,IF(D25="日",1,0)))</f>
        <v>0</v>
      </c>
      <c r="C25" s="98">
        <f t="shared" si="2"/>
        <v>45632</v>
      </c>
      <c r="D25" s="99" t="str">
        <f t="shared" si="1"/>
        <v>金</v>
      </c>
      <c r="E25" s="100">
        <v>0.4375</v>
      </c>
      <c r="F25" s="101">
        <v>0.79166666666666663</v>
      </c>
      <c r="G25" s="102">
        <v>0.54166666666666663</v>
      </c>
      <c r="H25" s="102" t="s">
        <v>36</v>
      </c>
      <c r="I25" s="103">
        <v>0.58333333333333337</v>
      </c>
      <c r="J25" s="104">
        <f t="shared" si="3"/>
        <v>4.1666666666666741E-2</v>
      </c>
      <c r="K25" s="102">
        <f t="shared" si="4"/>
        <v>0.31249999999999989</v>
      </c>
      <c r="L25" s="102"/>
      <c r="M25" s="141"/>
      <c r="N25" s="99"/>
      <c r="O25" s="153" t="s">
        <v>113</v>
      </c>
      <c r="P25" s="66"/>
      <c r="Q25" s="66"/>
      <c r="R25" s="66"/>
      <c r="S25" s="67"/>
      <c r="T25" s="104">
        <f t="shared" si="5"/>
        <v>0.4375</v>
      </c>
      <c r="U25" s="101">
        <f t="shared" si="5"/>
        <v>0.79166666666666663</v>
      </c>
      <c r="V25" s="102">
        <f t="shared" si="6"/>
        <v>0.31249999999999989</v>
      </c>
      <c r="W25" s="102" t="str">
        <f>IFERROR(FLOOR(K25,TIME(0,VLOOKUP($C$3,#REF!,22,0),0)),"")</f>
        <v/>
      </c>
      <c r="X25" s="105"/>
      <c r="Y25" s="147"/>
      <c r="Z25" s="148"/>
      <c r="AA25" s="148"/>
      <c r="AB25" s="148"/>
      <c r="AC25" s="148"/>
      <c r="AD25" s="148"/>
      <c r="AE25" s="148"/>
      <c r="AF25" s="148"/>
      <c r="AG25" s="149">
        <f t="shared" si="7"/>
        <v>0</v>
      </c>
    </row>
    <row r="26" spans="1:34" ht="17.100000000000001" customHeight="1" x14ac:dyDescent="0.45">
      <c r="A26" s="60">
        <f>IF(COUNTIFS(祝日参照用!A:A,C26)=1,1,IF(D26="土",1,IF(D26="日",1,0)))</f>
        <v>1</v>
      </c>
      <c r="C26" s="98">
        <f t="shared" si="2"/>
        <v>45633</v>
      </c>
      <c r="D26" s="99" t="str">
        <f t="shared" si="1"/>
        <v>土</v>
      </c>
      <c r="E26" s="100"/>
      <c r="F26" s="101"/>
      <c r="G26" s="102"/>
      <c r="H26" s="102"/>
      <c r="I26" s="103"/>
      <c r="J26" s="104"/>
      <c r="K26" s="102"/>
      <c r="L26" s="102"/>
      <c r="M26" s="141"/>
      <c r="N26" s="99"/>
      <c r="O26" s="153"/>
      <c r="P26" s="66"/>
      <c r="Q26" s="66"/>
      <c r="R26" s="66"/>
      <c r="S26" s="67"/>
      <c r="T26" s="104"/>
      <c r="U26" s="101"/>
      <c r="V26" s="102"/>
      <c r="W26" s="102" t="str">
        <f>IFERROR(FLOOR(K26,TIME(0,VLOOKUP($C$3,#REF!,22,0),0)),"")</f>
        <v/>
      </c>
      <c r="X26" s="105"/>
      <c r="Y26" s="147"/>
      <c r="Z26" s="148"/>
      <c r="AA26" s="148"/>
      <c r="AB26" s="148"/>
      <c r="AC26" s="148"/>
      <c r="AD26" s="148"/>
      <c r="AE26" s="148"/>
      <c r="AF26" s="148"/>
      <c r="AG26" s="149">
        <f t="shared" si="7"/>
        <v>0</v>
      </c>
    </row>
    <row r="27" spans="1:34" ht="17.100000000000001" customHeight="1" x14ac:dyDescent="0.45">
      <c r="A27" s="60">
        <f>IF(COUNTIFS(祝日参照用!A:A,C27)=1,1,IF(D27="土",1,IF(D27="日",1,0)))</f>
        <v>1</v>
      </c>
      <c r="C27" s="98">
        <f t="shared" si="2"/>
        <v>45634</v>
      </c>
      <c r="D27" s="99" t="str">
        <f t="shared" si="1"/>
        <v>日</v>
      </c>
      <c r="E27" s="100"/>
      <c r="F27" s="101"/>
      <c r="G27" s="102"/>
      <c r="H27" s="102"/>
      <c r="I27" s="103"/>
      <c r="J27" s="104"/>
      <c r="K27" s="102"/>
      <c r="L27" s="102"/>
      <c r="M27" s="141"/>
      <c r="N27" s="99"/>
      <c r="O27" s="153"/>
      <c r="P27" s="66"/>
      <c r="Q27" s="66"/>
      <c r="R27" s="66"/>
      <c r="S27" s="67"/>
      <c r="T27" s="104"/>
      <c r="U27" s="101"/>
      <c r="V27" s="102"/>
      <c r="W27" s="102" t="str">
        <f>IFERROR(FLOOR(K27,TIME(0,VLOOKUP($C$3,#REF!,22,0),0)),"")</f>
        <v/>
      </c>
      <c r="X27" s="105"/>
      <c r="Y27" s="147"/>
      <c r="Z27" s="148"/>
      <c r="AA27" s="148"/>
      <c r="AB27" s="148"/>
      <c r="AC27" s="148"/>
      <c r="AD27" s="148"/>
      <c r="AE27" s="148"/>
      <c r="AF27" s="148"/>
      <c r="AG27" s="149">
        <f t="shared" si="7"/>
        <v>0</v>
      </c>
    </row>
    <row r="28" spans="1:34" ht="17.100000000000001" customHeight="1" x14ac:dyDescent="0.45">
      <c r="A28" s="60">
        <f>IF(COUNTIFS(祝日参照用!A:A,C28)=1,1,IF(D28="土",1,IF(D28="日",1,0)))</f>
        <v>0</v>
      </c>
      <c r="C28" s="98">
        <f t="shared" si="2"/>
        <v>45635</v>
      </c>
      <c r="D28" s="99" t="str">
        <f t="shared" si="1"/>
        <v>月</v>
      </c>
      <c r="E28" s="100">
        <v>0.4375</v>
      </c>
      <c r="F28" s="101">
        <v>0.79166666666666663</v>
      </c>
      <c r="G28" s="102">
        <v>0.54166666666666663</v>
      </c>
      <c r="H28" s="102" t="s">
        <v>36</v>
      </c>
      <c r="I28" s="103">
        <v>0.58333333333333337</v>
      </c>
      <c r="J28" s="104">
        <f t="shared" si="3"/>
        <v>4.1666666666666741E-2</v>
      </c>
      <c r="K28" s="102">
        <f t="shared" si="4"/>
        <v>0.31249999999999989</v>
      </c>
      <c r="L28" s="102"/>
      <c r="M28" s="141"/>
      <c r="N28" s="99"/>
      <c r="O28" s="153" t="s">
        <v>113</v>
      </c>
      <c r="P28" s="66"/>
      <c r="Q28" s="66"/>
      <c r="R28" s="66"/>
      <c r="S28" s="67"/>
      <c r="T28" s="104">
        <f t="shared" si="5"/>
        <v>0.4375</v>
      </c>
      <c r="U28" s="101">
        <f t="shared" si="5"/>
        <v>0.79166666666666663</v>
      </c>
      <c r="V28" s="102">
        <f t="shared" si="6"/>
        <v>0.31249999999999989</v>
      </c>
      <c r="W28" s="102" t="str">
        <f>IFERROR(FLOOR(K28,TIME(0,VLOOKUP($C$3,#REF!,22,0),0)),"")</f>
        <v/>
      </c>
      <c r="X28" s="105"/>
      <c r="Y28" s="147"/>
      <c r="Z28" s="148"/>
      <c r="AA28" s="148"/>
      <c r="AB28" s="148"/>
      <c r="AC28" s="148"/>
      <c r="AD28" s="148"/>
      <c r="AE28" s="148"/>
      <c r="AF28" s="148"/>
      <c r="AG28" s="149">
        <f t="shared" si="7"/>
        <v>0</v>
      </c>
    </row>
    <row r="29" spans="1:34" ht="17.100000000000001" customHeight="1" x14ac:dyDescent="0.45">
      <c r="A29" s="60">
        <f>IF(COUNTIFS(祝日参照用!A:A,C29)=1,1,IF(D29="土",1,IF(D29="日",1,0)))</f>
        <v>0</v>
      </c>
      <c r="C29" s="98">
        <f t="shared" si="2"/>
        <v>45636</v>
      </c>
      <c r="D29" s="99" t="str">
        <f t="shared" si="1"/>
        <v>火</v>
      </c>
      <c r="E29" s="100">
        <v>0.4375</v>
      </c>
      <c r="F29" s="101">
        <v>0.79166666666666663</v>
      </c>
      <c r="G29" s="102">
        <v>0.54166666666666663</v>
      </c>
      <c r="H29" s="102" t="s">
        <v>36</v>
      </c>
      <c r="I29" s="103">
        <v>0.58333333333333337</v>
      </c>
      <c r="J29" s="104">
        <f t="shared" si="3"/>
        <v>4.1666666666666741E-2</v>
      </c>
      <c r="K29" s="102">
        <f t="shared" si="4"/>
        <v>0.31249999999999989</v>
      </c>
      <c r="L29" s="102"/>
      <c r="M29" s="141"/>
      <c r="N29" s="99"/>
      <c r="O29" s="153" t="s">
        <v>113</v>
      </c>
      <c r="P29" s="66"/>
      <c r="Q29" s="66"/>
      <c r="R29" s="66"/>
      <c r="S29" s="67"/>
      <c r="T29" s="104">
        <f t="shared" si="5"/>
        <v>0.4375</v>
      </c>
      <c r="U29" s="101">
        <f t="shared" si="5"/>
        <v>0.79166666666666663</v>
      </c>
      <c r="V29" s="102">
        <f t="shared" si="6"/>
        <v>0.31249999999999989</v>
      </c>
      <c r="W29" s="102" t="str">
        <f>IFERROR(FLOOR(K29,TIME(0,VLOOKUP($C$3,#REF!,22,0),0)),"")</f>
        <v/>
      </c>
      <c r="X29" s="105"/>
      <c r="Y29" s="147"/>
      <c r="Z29" s="148"/>
      <c r="AA29" s="148"/>
      <c r="AB29" s="148"/>
      <c r="AC29" s="148"/>
      <c r="AD29" s="148"/>
      <c r="AE29" s="148"/>
      <c r="AF29" s="148"/>
      <c r="AG29" s="149">
        <f t="shared" si="7"/>
        <v>0</v>
      </c>
    </row>
    <row r="30" spans="1:34" ht="17.100000000000001" customHeight="1" x14ac:dyDescent="0.45">
      <c r="A30" s="60">
        <f>IF(COUNTIFS(祝日参照用!A:A,C30)=1,1,IF(D30="土",1,IF(D30="日",1,0)))</f>
        <v>0</v>
      </c>
      <c r="C30" s="98">
        <f t="shared" si="2"/>
        <v>45637</v>
      </c>
      <c r="D30" s="99" t="str">
        <f t="shared" si="1"/>
        <v>水</v>
      </c>
      <c r="E30" s="100">
        <v>0.4375</v>
      </c>
      <c r="F30" s="101">
        <v>0.79166666666666663</v>
      </c>
      <c r="G30" s="102">
        <v>0.54166666666666663</v>
      </c>
      <c r="H30" s="102" t="s">
        <v>36</v>
      </c>
      <c r="I30" s="103">
        <v>0.58333333333333337</v>
      </c>
      <c r="J30" s="104">
        <f t="shared" si="3"/>
        <v>4.1666666666666741E-2</v>
      </c>
      <c r="K30" s="102">
        <f t="shared" si="4"/>
        <v>0.31249999999999989</v>
      </c>
      <c r="L30" s="102"/>
      <c r="M30" s="141"/>
      <c r="N30" s="99"/>
      <c r="O30" s="153" t="s">
        <v>113</v>
      </c>
      <c r="P30" s="66"/>
      <c r="Q30" s="66"/>
      <c r="R30" s="66"/>
      <c r="S30" s="67"/>
      <c r="T30" s="104">
        <f t="shared" si="5"/>
        <v>0.4375</v>
      </c>
      <c r="U30" s="101">
        <f t="shared" si="5"/>
        <v>0.79166666666666663</v>
      </c>
      <c r="V30" s="102">
        <f t="shared" si="6"/>
        <v>0.31249999999999989</v>
      </c>
      <c r="W30" s="102" t="str">
        <f>IFERROR(FLOOR(K30,TIME(0,VLOOKUP($C$3,#REF!,22,0),0)),"")</f>
        <v/>
      </c>
      <c r="X30" s="105"/>
      <c r="Y30" s="147"/>
      <c r="Z30" s="148"/>
      <c r="AA30" s="148"/>
      <c r="AB30" s="148"/>
      <c r="AC30" s="148"/>
      <c r="AD30" s="148"/>
      <c r="AE30" s="148"/>
      <c r="AF30" s="148"/>
      <c r="AG30" s="149">
        <f t="shared" si="7"/>
        <v>0</v>
      </c>
    </row>
    <row r="31" spans="1:34" ht="17.100000000000001" customHeight="1" x14ac:dyDescent="0.45">
      <c r="A31" s="60">
        <f>IF(COUNTIFS(祝日参照用!A:A,C31)=1,1,IF(D31="土",1,IF(D31="日",1,0)))</f>
        <v>0</v>
      </c>
      <c r="C31" s="98">
        <f t="shared" si="2"/>
        <v>45638</v>
      </c>
      <c r="D31" s="99" t="str">
        <f t="shared" si="1"/>
        <v>木</v>
      </c>
      <c r="E31" s="100">
        <v>0.4375</v>
      </c>
      <c r="F31" s="101">
        <v>0.75</v>
      </c>
      <c r="G31" s="102">
        <v>0.54166666666666663</v>
      </c>
      <c r="H31" s="102" t="s">
        <v>36</v>
      </c>
      <c r="I31" s="103">
        <v>0.58333333333333337</v>
      </c>
      <c r="J31" s="104">
        <f t="shared" si="3"/>
        <v>4.1666666666666741E-2</v>
      </c>
      <c r="K31" s="102">
        <f t="shared" si="4"/>
        <v>0.27083333333333326</v>
      </c>
      <c r="L31" s="102"/>
      <c r="M31" s="141"/>
      <c r="N31" s="99"/>
      <c r="O31" s="153" t="s">
        <v>113</v>
      </c>
      <c r="P31" s="66"/>
      <c r="Q31" s="66"/>
      <c r="R31" s="66"/>
      <c r="S31" s="67"/>
      <c r="T31" s="104">
        <f t="shared" si="5"/>
        <v>0.4375</v>
      </c>
      <c r="U31" s="101">
        <f t="shared" si="5"/>
        <v>0.75</v>
      </c>
      <c r="V31" s="102">
        <f t="shared" si="6"/>
        <v>0.27083333333333326</v>
      </c>
      <c r="W31" s="102" t="str">
        <f>IFERROR(FLOOR(K31,TIME(0,VLOOKUP($C$3,#REF!,22,0),0)),"")</f>
        <v/>
      </c>
      <c r="X31" s="105"/>
      <c r="Y31" s="147"/>
      <c r="Z31" s="148"/>
      <c r="AA31" s="148"/>
      <c r="AB31" s="148"/>
      <c r="AC31" s="148"/>
      <c r="AD31" s="148"/>
      <c r="AE31" s="148"/>
      <c r="AF31" s="148"/>
      <c r="AG31" s="149">
        <f t="shared" si="7"/>
        <v>0</v>
      </c>
    </row>
    <row r="32" spans="1:34" ht="17.100000000000001" customHeight="1" x14ac:dyDescent="0.45">
      <c r="A32" s="60">
        <f>IF(COUNTIFS(祝日参照用!A:A,C32)=1,1,IF(D32="土",1,IF(D32="日",1,0)))</f>
        <v>0</v>
      </c>
      <c r="C32" s="98">
        <f t="shared" si="2"/>
        <v>45639</v>
      </c>
      <c r="D32" s="99" t="str">
        <f t="shared" si="1"/>
        <v>金</v>
      </c>
      <c r="E32" s="100">
        <v>0.4375</v>
      </c>
      <c r="F32" s="101">
        <v>0.79166666666666663</v>
      </c>
      <c r="G32" s="102">
        <v>0.54166666666666663</v>
      </c>
      <c r="H32" s="102" t="s">
        <v>36</v>
      </c>
      <c r="I32" s="103">
        <v>0.58333333333333337</v>
      </c>
      <c r="J32" s="104">
        <f t="shared" si="3"/>
        <v>4.1666666666666741E-2</v>
      </c>
      <c r="K32" s="102">
        <f t="shared" si="4"/>
        <v>0.31249999999999989</v>
      </c>
      <c r="L32" s="102"/>
      <c r="M32" s="141"/>
      <c r="N32" s="99"/>
      <c r="O32" s="153" t="s">
        <v>113</v>
      </c>
      <c r="P32" s="66"/>
      <c r="Q32" s="66"/>
      <c r="R32" s="66"/>
      <c r="S32" s="67"/>
      <c r="T32" s="104">
        <f t="shared" si="5"/>
        <v>0.4375</v>
      </c>
      <c r="U32" s="101">
        <f t="shared" si="5"/>
        <v>0.79166666666666663</v>
      </c>
      <c r="V32" s="102">
        <f t="shared" si="6"/>
        <v>0.31249999999999989</v>
      </c>
      <c r="W32" s="102" t="str">
        <f>IFERROR(FLOOR(K32,TIME(0,VLOOKUP($C$3,#REF!,22,0),0)),"")</f>
        <v/>
      </c>
      <c r="X32" s="105"/>
      <c r="Y32" s="147"/>
      <c r="Z32" s="148"/>
      <c r="AA32" s="148"/>
      <c r="AB32" s="148"/>
      <c r="AC32" s="148"/>
      <c r="AD32" s="148"/>
      <c r="AE32" s="148"/>
      <c r="AF32" s="148"/>
      <c r="AG32" s="149">
        <f t="shared" si="7"/>
        <v>0</v>
      </c>
    </row>
    <row r="33" spans="1:33" ht="17.100000000000001" customHeight="1" x14ac:dyDescent="0.45">
      <c r="A33" s="60">
        <f>IF(COUNTIFS(祝日参照用!A:A,C33)=1,1,IF(D33="土",1,IF(D33="日",1,0)))</f>
        <v>1</v>
      </c>
      <c r="C33" s="98">
        <f t="shared" si="2"/>
        <v>45640</v>
      </c>
      <c r="D33" s="99" t="str">
        <f t="shared" si="1"/>
        <v>土</v>
      </c>
      <c r="E33" s="100"/>
      <c r="F33" s="101"/>
      <c r="G33" s="102"/>
      <c r="H33" s="102"/>
      <c r="I33" s="103"/>
      <c r="J33" s="104"/>
      <c r="K33" s="102"/>
      <c r="L33" s="102"/>
      <c r="M33" s="141"/>
      <c r="N33" s="99"/>
      <c r="O33" s="153"/>
      <c r="P33" s="66"/>
      <c r="Q33" s="66"/>
      <c r="R33" s="66"/>
      <c r="S33" s="67"/>
      <c r="T33" s="104"/>
      <c r="U33" s="101"/>
      <c r="V33" s="102"/>
      <c r="W33" s="102" t="str">
        <f>IFERROR(FLOOR(K33,TIME(0,VLOOKUP($C$3,#REF!,22,0),0)),"")</f>
        <v/>
      </c>
      <c r="X33" s="105"/>
      <c r="Y33" s="147"/>
      <c r="Z33" s="148"/>
      <c r="AA33" s="148"/>
      <c r="AB33" s="148"/>
      <c r="AC33" s="148"/>
      <c r="AD33" s="148"/>
      <c r="AE33" s="148"/>
      <c r="AF33" s="148"/>
      <c r="AG33" s="149">
        <f t="shared" si="7"/>
        <v>0</v>
      </c>
    </row>
    <row r="34" spans="1:33" ht="17.100000000000001" customHeight="1" x14ac:dyDescent="0.45">
      <c r="A34" s="60">
        <f>IF(COUNTIFS(祝日参照用!A:A,C34)=1,1,IF(D34="土",1,IF(D34="日",1,0)))</f>
        <v>1</v>
      </c>
      <c r="C34" s="98">
        <f t="shared" si="2"/>
        <v>45641</v>
      </c>
      <c r="D34" s="99" t="str">
        <f t="shared" si="1"/>
        <v>日</v>
      </c>
      <c r="E34" s="100"/>
      <c r="F34" s="101"/>
      <c r="G34" s="102"/>
      <c r="H34" s="102"/>
      <c r="I34" s="103"/>
      <c r="J34" s="104"/>
      <c r="K34" s="102"/>
      <c r="L34" s="102"/>
      <c r="M34" s="141"/>
      <c r="N34" s="99"/>
      <c r="O34" s="153"/>
      <c r="P34" s="66"/>
      <c r="Q34" s="66"/>
      <c r="R34" s="66"/>
      <c r="S34" s="67"/>
      <c r="T34" s="104"/>
      <c r="U34" s="101"/>
      <c r="V34" s="102"/>
      <c r="W34" s="102" t="str">
        <f>IFERROR(FLOOR(K34,TIME(0,VLOOKUP($C$3,#REF!,22,0),0)),"")</f>
        <v/>
      </c>
      <c r="X34" s="105"/>
      <c r="Y34" s="147"/>
      <c r="Z34" s="148"/>
      <c r="AA34" s="148"/>
      <c r="AB34" s="148"/>
      <c r="AC34" s="148"/>
      <c r="AD34" s="148"/>
      <c r="AE34" s="148"/>
      <c r="AF34" s="148"/>
      <c r="AG34" s="149">
        <f t="shared" si="7"/>
        <v>0</v>
      </c>
    </row>
    <row r="35" spans="1:33" ht="17.100000000000001" customHeight="1" x14ac:dyDescent="0.45">
      <c r="A35" s="60">
        <f>IF(COUNTIFS(祝日参照用!A:A,C35)=1,1,IF(D35="土",1,IF(D35="日",1,0)))</f>
        <v>0</v>
      </c>
      <c r="C35" s="98">
        <f t="shared" si="2"/>
        <v>45642</v>
      </c>
      <c r="D35" s="99" t="str">
        <f t="shared" si="1"/>
        <v>月</v>
      </c>
      <c r="E35" s="100">
        <v>0.4375</v>
      </c>
      <c r="F35" s="101">
        <v>0.79166666666666663</v>
      </c>
      <c r="G35" s="102">
        <v>0.54166666666666663</v>
      </c>
      <c r="H35" s="102" t="s">
        <v>36</v>
      </c>
      <c r="I35" s="103">
        <v>0.58333333333333337</v>
      </c>
      <c r="J35" s="104">
        <f t="shared" si="3"/>
        <v>4.1666666666666741E-2</v>
      </c>
      <c r="K35" s="102">
        <f t="shared" si="4"/>
        <v>0.31249999999999989</v>
      </c>
      <c r="L35" s="102"/>
      <c r="M35" s="141"/>
      <c r="N35" s="99"/>
      <c r="O35" s="153" t="s">
        <v>113</v>
      </c>
      <c r="P35" s="66"/>
      <c r="Q35" s="66"/>
      <c r="R35" s="66"/>
      <c r="S35" s="67"/>
      <c r="T35" s="104">
        <f t="shared" si="5"/>
        <v>0.4375</v>
      </c>
      <c r="U35" s="101">
        <f t="shared" si="5"/>
        <v>0.79166666666666663</v>
      </c>
      <c r="V35" s="102">
        <f t="shared" si="6"/>
        <v>0.31249999999999989</v>
      </c>
      <c r="W35" s="102"/>
      <c r="X35" s="105"/>
      <c r="Y35" s="147"/>
      <c r="Z35" s="148"/>
      <c r="AA35" s="148"/>
      <c r="AB35" s="148"/>
      <c r="AC35" s="148"/>
      <c r="AD35" s="148"/>
      <c r="AE35" s="148"/>
      <c r="AF35" s="148"/>
      <c r="AG35" s="149">
        <f t="shared" si="7"/>
        <v>0</v>
      </c>
    </row>
    <row r="36" spans="1:33" ht="17.100000000000001" customHeight="1" x14ac:dyDescent="0.45">
      <c r="A36" s="60">
        <f>IF(COUNTIFS(祝日参照用!A:A,C36)=1,1,IF(D36="土",1,IF(D36="日",1,0)))</f>
        <v>0</v>
      </c>
      <c r="C36" s="98">
        <f t="shared" si="2"/>
        <v>45643</v>
      </c>
      <c r="D36" s="99" t="str">
        <f t="shared" si="1"/>
        <v>火</v>
      </c>
      <c r="E36" s="100">
        <v>0.4375</v>
      </c>
      <c r="F36" s="101">
        <v>0.79166666666666663</v>
      </c>
      <c r="G36" s="102">
        <v>0.54166666666666663</v>
      </c>
      <c r="H36" s="102" t="s">
        <v>36</v>
      </c>
      <c r="I36" s="103">
        <v>0.58333333333333337</v>
      </c>
      <c r="J36" s="104">
        <f t="shared" si="3"/>
        <v>4.1666666666666741E-2</v>
      </c>
      <c r="K36" s="102">
        <f t="shared" si="4"/>
        <v>0.31249999999999989</v>
      </c>
      <c r="L36" s="102"/>
      <c r="M36" s="141"/>
      <c r="N36" s="99"/>
      <c r="O36" s="153" t="s">
        <v>113</v>
      </c>
      <c r="P36" s="66"/>
      <c r="Q36" s="66"/>
      <c r="R36" s="66"/>
      <c r="S36" s="67"/>
      <c r="T36" s="104">
        <f t="shared" si="5"/>
        <v>0.4375</v>
      </c>
      <c r="U36" s="101">
        <f t="shared" si="5"/>
        <v>0.79166666666666663</v>
      </c>
      <c r="V36" s="102">
        <f t="shared" si="6"/>
        <v>0.31249999999999989</v>
      </c>
      <c r="W36" s="102" t="str">
        <f>IFERROR(FLOOR(K36,TIME(0,VLOOKUP($C$3,#REF!,22,0),0)),"")</f>
        <v/>
      </c>
      <c r="X36" s="105"/>
      <c r="Y36" s="147"/>
      <c r="Z36" s="148"/>
      <c r="AA36" s="148"/>
      <c r="AB36" s="148"/>
      <c r="AC36" s="148"/>
      <c r="AD36" s="148"/>
      <c r="AE36" s="148"/>
      <c r="AF36" s="148"/>
      <c r="AG36" s="149">
        <f t="shared" si="7"/>
        <v>0</v>
      </c>
    </row>
    <row r="37" spans="1:33" ht="17.100000000000001" customHeight="1" x14ac:dyDescent="0.45">
      <c r="A37" s="60">
        <f>IF(COUNTIFS(祝日参照用!A:A,C37)=1,1,IF(D37="土",1,IF(D37="日",1,0)))</f>
        <v>0</v>
      </c>
      <c r="C37" s="98">
        <f t="shared" si="2"/>
        <v>45644</v>
      </c>
      <c r="D37" s="99" t="str">
        <f t="shared" si="1"/>
        <v>水</v>
      </c>
      <c r="E37" s="100">
        <v>0.4375</v>
      </c>
      <c r="F37" s="101">
        <v>0.79166666666666663</v>
      </c>
      <c r="G37" s="102">
        <v>0.54166666666666663</v>
      </c>
      <c r="H37" s="102" t="s">
        <v>36</v>
      </c>
      <c r="I37" s="103">
        <v>0.58333333333333337</v>
      </c>
      <c r="J37" s="104">
        <f t="shared" si="3"/>
        <v>4.1666666666666741E-2</v>
      </c>
      <c r="K37" s="102">
        <f t="shared" si="4"/>
        <v>0.31249999999999989</v>
      </c>
      <c r="L37" s="102"/>
      <c r="M37" s="142"/>
      <c r="N37" s="99"/>
      <c r="O37" s="153" t="s">
        <v>113</v>
      </c>
      <c r="P37" s="66"/>
      <c r="Q37" s="66"/>
      <c r="R37" s="66"/>
      <c r="S37" s="67"/>
      <c r="T37" s="104">
        <f t="shared" si="5"/>
        <v>0.4375</v>
      </c>
      <c r="U37" s="101">
        <f t="shared" si="5"/>
        <v>0.79166666666666663</v>
      </c>
      <c r="V37" s="102">
        <f t="shared" si="6"/>
        <v>0.31249999999999989</v>
      </c>
      <c r="W37" s="102" t="str">
        <f>IFERROR(FLOOR(K37,TIME(0,VLOOKUP($C$3,#REF!,22,0),0)),"")</f>
        <v/>
      </c>
      <c r="X37" s="105"/>
      <c r="Y37" s="147"/>
      <c r="Z37" s="148"/>
      <c r="AA37" s="148"/>
      <c r="AB37" s="148"/>
      <c r="AC37" s="148"/>
      <c r="AD37" s="148"/>
      <c r="AE37" s="148"/>
      <c r="AF37" s="148"/>
      <c r="AG37" s="149">
        <f t="shared" si="7"/>
        <v>0</v>
      </c>
    </row>
    <row r="38" spans="1:33" ht="17.100000000000001" customHeight="1" x14ac:dyDescent="0.45">
      <c r="A38" s="60">
        <f>IF(COUNTIFS(祝日参照用!A:A,C38)=1,1,IF(D38="土",1,IF(D38="日",1,0)))</f>
        <v>0</v>
      </c>
      <c r="C38" s="98">
        <f t="shared" si="2"/>
        <v>45645</v>
      </c>
      <c r="D38" s="99" t="str">
        <f t="shared" si="1"/>
        <v>木</v>
      </c>
      <c r="E38" s="100">
        <v>0.4375</v>
      </c>
      <c r="F38" s="101">
        <v>0.79166666666666663</v>
      </c>
      <c r="G38" s="102">
        <v>0.54166666666666663</v>
      </c>
      <c r="H38" s="102" t="s">
        <v>36</v>
      </c>
      <c r="I38" s="103">
        <v>0.58333333333333337</v>
      </c>
      <c r="J38" s="104">
        <f t="shared" si="3"/>
        <v>4.1666666666666741E-2</v>
      </c>
      <c r="K38" s="102">
        <f t="shared" si="4"/>
        <v>0.31249999999999989</v>
      </c>
      <c r="L38" s="102"/>
      <c r="M38" s="141"/>
      <c r="N38" s="99"/>
      <c r="O38" s="153" t="s">
        <v>113</v>
      </c>
      <c r="P38" s="66"/>
      <c r="Q38" s="66"/>
      <c r="R38" s="66"/>
      <c r="S38" s="67"/>
      <c r="T38" s="104">
        <f t="shared" si="5"/>
        <v>0.4375</v>
      </c>
      <c r="U38" s="101">
        <f t="shared" si="5"/>
        <v>0.79166666666666663</v>
      </c>
      <c r="V38" s="102">
        <f t="shared" si="6"/>
        <v>0.31249999999999989</v>
      </c>
      <c r="W38" s="102" t="str">
        <f>IFERROR(FLOOR(K38,TIME(0,VLOOKUP($C$3,#REF!,22,0),0)),"")</f>
        <v/>
      </c>
      <c r="X38" s="105"/>
      <c r="Y38" s="147"/>
      <c r="Z38" s="148"/>
      <c r="AA38" s="148"/>
      <c r="AB38" s="148"/>
      <c r="AC38" s="148"/>
      <c r="AD38" s="148"/>
      <c r="AE38" s="148"/>
      <c r="AF38" s="148"/>
      <c r="AG38" s="149">
        <f t="shared" si="7"/>
        <v>0</v>
      </c>
    </row>
    <row r="39" spans="1:33" ht="17.100000000000001" customHeight="1" x14ac:dyDescent="0.45">
      <c r="A39" s="60">
        <f>IF(COUNTIFS(祝日参照用!A:A,C39)=1,1,IF(D39="土",1,IF(D39="日",1,0)))</f>
        <v>0</v>
      </c>
      <c r="C39" s="98">
        <f t="shared" si="2"/>
        <v>45646</v>
      </c>
      <c r="D39" s="99" t="str">
        <f t="shared" si="1"/>
        <v>金</v>
      </c>
      <c r="E39" s="100">
        <v>0.4375</v>
      </c>
      <c r="F39" s="101">
        <v>0.79166666666666663</v>
      </c>
      <c r="G39" s="102">
        <v>0.54166666666666663</v>
      </c>
      <c r="H39" s="102" t="s">
        <v>36</v>
      </c>
      <c r="I39" s="103">
        <v>0.58333333333333337</v>
      </c>
      <c r="J39" s="104">
        <f t="shared" si="3"/>
        <v>4.1666666666666741E-2</v>
      </c>
      <c r="K39" s="102">
        <f t="shared" si="4"/>
        <v>0.31249999999999989</v>
      </c>
      <c r="L39" s="102"/>
      <c r="M39" s="141"/>
      <c r="N39" s="143"/>
      <c r="O39" s="153" t="s">
        <v>113</v>
      </c>
      <c r="P39" s="66"/>
      <c r="Q39" s="66"/>
      <c r="R39" s="66"/>
      <c r="S39" s="67"/>
      <c r="T39" s="104">
        <f t="shared" si="5"/>
        <v>0.4375</v>
      </c>
      <c r="U39" s="101">
        <f t="shared" si="5"/>
        <v>0.79166666666666663</v>
      </c>
      <c r="V39" s="102">
        <f t="shared" si="6"/>
        <v>0.31249999999999989</v>
      </c>
      <c r="W39" s="102" t="str">
        <f>IFERROR(FLOOR(K39,TIME(0,VLOOKUP($C$3,#REF!,22,0),0)),"")</f>
        <v/>
      </c>
      <c r="X39" s="105"/>
      <c r="Y39" s="147"/>
      <c r="Z39" s="148"/>
      <c r="AA39" s="148"/>
      <c r="AB39" s="148"/>
      <c r="AC39" s="148"/>
      <c r="AD39" s="148"/>
      <c r="AE39" s="148"/>
      <c r="AF39" s="148"/>
      <c r="AG39" s="149">
        <f t="shared" si="7"/>
        <v>0</v>
      </c>
    </row>
    <row r="40" spans="1:33" ht="17.100000000000001" customHeight="1" x14ac:dyDescent="0.45">
      <c r="A40" s="60">
        <f>IF(COUNTIFS(祝日参照用!A:A,C40)=1,1,IF(D40="土",1,IF(D40="日",1,0)))</f>
        <v>1</v>
      </c>
      <c r="C40" s="98">
        <f t="shared" si="2"/>
        <v>45647</v>
      </c>
      <c r="D40" s="99" t="str">
        <f t="shared" si="1"/>
        <v>土</v>
      </c>
      <c r="E40" s="100"/>
      <c r="F40" s="101"/>
      <c r="G40" s="102"/>
      <c r="H40" s="102"/>
      <c r="I40" s="103"/>
      <c r="J40" s="104"/>
      <c r="K40" s="102"/>
      <c r="L40" s="102"/>
      <c r="M40" s="141"/>
      <c r="N40" s="99"/>
      <c r="O40" s="153"/>
      <c r="P40" s="66"/>
      <c r="Q40" s="66"/>
      <c r="R40" s="66"/>
      <c r="S40" s="67"/>
      <c r="T40" s="104"/>
      <c r="U40" s="101"/>
      <c r="V40" s="102"/>
      <c r="W40" s="102"/>
      <c r="X40" s="105"/>
      <c r="Y40" s="147"/>
      <c r="Z40" s="148"/>
      <c r="AA40" s="148"/>
      <c r="AB40" s="148"/>
      <c r="AC40" s="148"/>
      <c r="AD40" s="148"/>
      <c r="AE40" s="148"/>
      <c r="AF40" s="148"/>
      <c r="AG40" s="149">
        <f t="shared" si="7"/>
        <v>0</v>
      </c>
    </row>
    <row r="41" spans="1:33" ht="17.100000000000001" customHeight="1" x14ac:dyDescent="0.45">
      <c r="A41" s="60">
        <f>IF(COUNTIFS(祝日参照用!A:A,C41)=1,1,IF(D41="土",1,IF(D41="日",1,0)))</f>
        <v>1</v>
      </c>
      <c r="C41" s="98">
        <f t="shared" si="2"/>
        <v>45648</v>
      </c>
      <c r="D41" s="99" t="str">
        <f t="shared" si="1"/>
        <v>日</v>
      </c>
      <c r="E41" s="100"/>
      <c r="F41" s="101"/>
      <c r="G41" s="102"/>
      <c r="H41" s="102"/>
      <c r="I41" s="103"/>
      <c r="J41" s="104"/>
      <c r="K41" s="102"/>
      <c r="L41" s="102"/>
      <c r="M41" s="141"/>
      <c r="N41" s="99"/>
      <c r="O41" s="153"/>
      <c r="P41" s="66"/>
      <c r="Q41" s="66"/>
      <c r="R41" s="66"/>
      <c r="S41" s="67"/>
      <c r="T41" s="104"/>
      <c r="U41" s="101"/>
      <c r="V41" s="102"/>
      <c r="W41" s="102"/>
      <c r="X41" s="105"/>
      <c r="Y41" s="147"/>
      <c r="Z41" s="148"/>
      <c r="AA41" s="148"/>
      <c r="AB41" s="148"/>
      <c r="AC41" s="148"/>
      <c r="AD41" s="148"/>
      <c r="AE41" s="148"/>
      <c r="AF41" s="148"/>
      <c r="AG41" s="149">
        <f t="shared" si="7"/>
        <v>0</v>
      </c>
    </row>
    <row r="42" spans="1:33" ht="17.100000000000001" customHeight="1" x14ac:dyDescent="0.45">
      <c r="A42" s="60">
        <f>IF(COUNTIFS(祝日参照用!A:A,C42)=1,1,IF(D42="土",1,IF(D42="日",1,0)))</f>
        <v>0</v>
      </c>
      <c r="C42" s="98">
        <f t="shared" si="2"/>
        <v>45649</v>
      </c>
      <c r="D42" s="99" t="str">
        <f t="shared" si="1"/>
        <v>月</v>
      </c>
      <c r="E42" s="100">
        <v>0.4375</v>
      </c>
      <c r="F42" s="101">
        <v>0.79166666666666663</v>
      </c>
      <c r="G42" s="102">
        <v>0.54166666666666663</v>
      </c>
      <c r="H42" s="102" t="s">
        <v>36</v>
      </c>
      <c r="I42" s="103">
        <v>0.58333333333333337</v>
      </c>
      <c r="J42" s="104">
        <f t="shared" si="3"/>
        <v>4.1666666666666741E-2</v>
      </c>
      <c r="K42" s="102">
        <f t="shared" si="4"/>
        <v>0.31249999999999989</v>
      </c>
      <c r="L42" s="102"/>
      <c r="M42" s="141"/>
      <c r="N42" s="99"/>
      <c r="O42" s="153" t="s">
        <v>113</v>
      </c>
      <c r="P42" s="66"/>
      <c r="Q42" s="66"/>
      <c r="R42" s="66"/>
      <c r="S42" s="67"/>
      <c r="T42" s="104">
        <f t="shared" si="5"/>
        <v>0.4375</v>
      </c>
      <c r="U42" s="101">
        <f t="shared" si="5"/>
        <v>0.79166666666666663</v>
      </c>
      <c r="V42" s="102">
        <f t="shared" si="6"/>
        <v>0.31249999999999989</v>
      </c>
      <c r="W42" s="102" t="str">
        <f>IFERROR(FLOOR(K42,TIME(0,VLOOKUP($C$3,#REF!,22,0),0)),"")</f>
        <v/>
      </c>
      <c r="X42" s="105"/>
      <c r="Y42" s="147"/>
      <c r="Z42" s="148"/>
      <c r="AA42" s="148"/>
      <c r="AB42" s="148"/>
      <c r="AC42" s="148"/>
      <c r="AD42" s="148"/>
      <c r="AE42" s="148"/>
      <c r="AF42" s="148"/>
      <c r="AG42" s="149">
        <f t="shared" si="7"/>
        <v>0</v>
      </c>
    </row>
    <row r="43" spans="1:33" ht="17.100000000000001" customHeight="1" x14ac:dyDescent="0.45">
      <c r="A43" s="60">
        <f>IF(COUNTIFS(祝日参照用!A:A,C43)=1,1,IF(D43="土",1,IF(D43="日",1,0)))</f>
        <v>0</v>
      </c>
      <c r="C43" s="98">
        <f t="shared" si="2"/>
        <v>45650</v>
      </c>
      <c r="D43" s="99" t="str">
        <f t="shared" si="1"/>
        <v>火</v>
      </c>
      <c r="E43" s="100">
        <v>0.4375</v>
      </c>
      <c r="F43" s="101">
        <v>0.79166666666666663</v>
      </c>
      <c r="G43" s="102">
        <v>0.54166666666666663</v>
      </c>
      <c r="H43" s="102" t="s">
        <v>36</v>
      </c>
      <c r="I43" s="103">
        <v>0.58333333333333337</v>
      </c>
      <c r="J43" s="104">
        <f t="shared" si="3"/>
        <v>4.1666666666666741E-2</v>
      </c>
      <c r="K43" s="102">
        <f t="shared" si="4"/>
        <v>0.31249999999999989</v>
      </c>
      <c r="L43" s="102"/>
      <c r="M43" s="141"/>
      <c r="N43" s="99"/>
      <c r="O43" s="153" t="s">
        <v>113</v>
      </c>
      <c r="P43" s="66"/>
      <c r="Q43" s="66"/>
      <c r="R43" s="66"/>
      <c r="S43" s="67"/>
      <c r="T43" s="104">
        <f t="shared" si="5"/>
        <v>0.4375</v>
      </c>
      <c r="U43" s="101">
        <f t="shared" si="5"/>
        <v>0.79166666666666663</v>
      </c>
      <c r="V43" s="102">
        <f t="shared" si="6"/>
        <v>0.31249999999999989</v>
      </c>
      <c r="W43" s="102" t="str">
        <f>IFERROR(FLOOR(K43,TIME(0,VLOOKUP($C$3,#REF!,22,0),0)),"")</f>
        <v/>
      </c>
      <c r="X43" s="105"/>
      <c r="Y43" s="147"/>
      <c r="Z43" s="148"/>
      <c r="AA43" s="148"/>
      <c r="AB43" s="148"/>
      <c r="AC43" s="148"/>
      <c r="AD43" s="148"/>
      <c r="AE43" s="148"/>
      <c r="AF43" s="148"/>
      <c r="AG43" s="149">
        <f t="shared" si="7"/>
        <v>0</v>
      </c>
    </row>
    <row r="44" spans="1:33" ht="17.100000000000001" customHeight="1" x14ac:dyDescent="0.45">
      <c r="A44" s="60">
        <f>IF(COUNTIFS(祝日参照用!A:A,C44)=1,1,IF(D44="土",1,IF(D44="日",1,0)))</f>
        <v>0</v>
      </c>
      <c r="C44" s="98">
        <f t="shared" si="2"/>
        <v>45651</v>
      </c>
      <c r="D44" s="99" t="str">
        <f t="shared" si="1"/>
        <v>水</v>
      </c>
      <c r="E44" s="100">
        <v>0.4375</v>
      </c>
      <c r="F44" s="101">
        <v>0.79166666666666663</v>
      </c>
      <c r="G44" s="102">
        <v>0.54166666666666663</v>
      </c>
      <c r="H44" s="102" t="s">
        <v>36</v>
      </c>
      <c r="I44" s="103">
        <v>0.58333333333333337</v>
      </c>
      <c r="J44" s="104">
        <f t="shared" si="3"/>
        <v>4.1666666666666741E-2</v>
      </c>
      <c r="K44" s="102">
        <f t="shared" si="4"/>
        <v>0.31249999999999989</v>
      </c>
      <c r="L44" s="102"/>
      <c r="M44" s="141"/>
      <c r="N44" s="99"/>
      <c r="O44" s="153" t="s">
        <v>113</v>
      </c>
      <c r="P44" s="66"/>
      <c r="Q44" s="66"/>
      <c r="R44" s="66"/>
      <c r="S44" s="67"/>
      <c r="T44" s="104">
        <f t="shared" si="5"/>
        <v>0.4375</v>
      </c>
      <c r="U44" s="101">
        <f t="shared" si="5"/>
        <v>0.79166666666666663</v>
      </c>
      <c r="V44" s="102">
        <f t="shared" si="6"/>
        <v>0.31249999999999989</v>
      </c>
      <c r="W44" s="102"/>
      <c r="X44" s="105"/>
      <c r="Y44" s="147"/>
      <c r="Z44" s="148"/>
      <c r="AA44" s="148"/>
      <c r="AB44" s="148"/>
      <c r="AC44" s="148"/>
      <c r="AD44" s="148"/>
      <c r="AE44" s="148"/>
      <c r="AF44" s="148"/>
      <c r="AG44" s="149">
        <f t="shared" si="7"/>
        <v>0</v>
      </c>
    </row>
    <row r="45" spans="1:33" ht="17.100000000000001" customHeight="1" x14ac:dyDescent="0.45">
      <c r="A45" s="60">
        <f>IF(COUNTIFS(祝日参照用!A:A,C45)=1,1,IF(D45="土",1,IF(D45="日",1,0)))</f>
        <v>0</v>
      </c>
      <c r="C45" s="98">
        <f t="shared" si="2"/>
        <v>45652</v>
      </c>
      <c r="D45" s="99" t="str">
        <f t="shared" si="1"/>
        <v>木</v>
      </c>
      <c r="E45" s="100">
        <v>0.4375</v>
      </c>
      <c r="F45" s="101">
        <v>0.79166666666666663</v>
      </c>
      <c r="G45" s="102">
        <v>0.54166666666666663</v>
      </c>
      <c r="H45" s="102" t="s">
        <v>36</v>
      </c>
      <c r="I45" s="103">
        <v>0.58333333333333337</v>
      </c>
      <c r="J45" s="104">
        <f t="shared" si="3"/>
        <v>4.1666666666666741E-2</v>
      </c>
      <c r="K45" s="102">
        <f t="shared" si="4"/>
        <v>0.31249999999999989</v>
      </c>
      <c r="L45" s="102"/>
      <c r="M45" s="141"/>
      <c r="N45" s="99"/>
      <c r="O45" s="153" t="s">
        <v>113</v>
      </c>
      <c r="P45" s="66"/>
      <c r="Q45" s="66"/>
      <c r="R45" s="66"/>
      <c r="S45" s="67"/>
      <c r="T45" s="104">
        <f t="shared" si="5"/>
        <v>0.4375</v>
      </c>
      <c r="U45" s="101">
        <f t="shared" si="5"/>
        <v>0.79166666666666663</v>
      </c>
      <c r="V45" s="102">
        <f t="shared" si="6"/>
        <v>0.31249999999999989</v>
      </c>
      <c r="W45" s="102" t="str">
        <f>IFERROR(FLOOR(K45,TIME(0,VLOOKUP($C$3,#REF!,22,0),0)),"")</f>
        <v/>
      </c>
      <c r="X45" s="105"/>
      <c r="Y45" s="147"/>
      <c r="Z45" s="148"/>
      <c r="AA45" s="148"/>
      <c r="AB45" s="148"/>
      <c r="AC45" s="148"/>
      <c r="AD45" s="148"/>
      <c r="AE45" s="148"/>
      <c r="AF45" s="148"/>
      <c r="AG45" s="149">
        <f t="shared" si="7"/>
        <v>0</v>
      </c>
    </row>
    <row r="46" spans="1:33" ht="17.100000000000001" customHeight="1" x14ac:dyDescent="0.45">
      <c r="A46" s="60">
        <f>IF(COUNTIFS(祝日参照用!A:A,C46)=1,1,IF(D46="土",1,IF(D46="日",1,0)))</f>
        <v>0</v>
      </c>
      <c r="C46" s="98">
        <f t="shared" si="2"/>
        <v>45653</v>
      </c>
      <c r="D46" s="99" t="str">
        <f t="shared" si="1"/>
        <v>金</v>
      </c>
      <c r="E46" s="100">
        <v>0.4375</v>
      </c>
      <c r="F46" s="101">
        <v>0.79166666666666663</v>
      </c>
      <c r="G46" s="102">
        <v>0.54166666666666663</v>
      </c>
      <c r="H46" s="102" t="s">
        <v>36</v>
      </c>
      <c r="I46" s="103">
        <v>0.58333333333333337</v>
      </c>
      <c r="J46" s="104">
        <f t="shared" si="3"/>
        <v>4.1666666666666741E-2</v>
      </c>
      <c r="K46" s="102">
        <f t="shared" si="4"/>
        <v>0.31249999999999989</v>
      </c>
      <c r="L46" s="102"/>
      <c r="M46" s="141"/>
      <c r="N46" s="99"/>
      <c r="O46" s="153" t="s">
        <v>113</v>
      </c>
      <c r="P46" s="66"/>
      <c r="Q46" s="66"/>
      <c r="R46" s="66"/>
      <c r="S46" s="67"/>
      <c r="T46" s="104">
        <f t="shared" si="5"/>
        <v>0.4375</v>
      </c>
      <c r="U46" s="101">
        <f t="shared" si="5"/>
        <v>0.79166666666666663</v>
      </c>
      <c r="V46" s="102">
        <f t="shared" si="6"/>
        <v>0.31249999999999989</v>
      </c>
      <c r="W46" s="102" t="str">
        <f>IFERROR(FLOOR(K46,TIME(0,VLOOKUP($C$3,#REF!,22,0),0)),"")</f>
        <v/>
      </c>
      <c r="X46" s="105"/>
      <c r="Y46" s="147"/>
      <c r="Z46" s="148"/>
      <c r="AA46" s="148"/>
      <c r="AB46" s="148"/>
      <c r="AC46" s="148"/>
      <c r="AD46" s="148"/>
      <c r="AE46" s="148"/>
      <c r="AF46" s="148"/>
      <c r="AG46" s="149">
        <f t="shared" si="7"/>
        <v>0</v>
      </c>
    </row>
    <row r="47" spans="1:33" ht="17.100000000000001" customHeight="1" x14ac:dyDescent="0.45">
      <c r="A47" s="60">
        <f>IF(COUNTIFS(祝日参照用!A:A,C47)=1,1,IF(D47="土",1,IF(D47="日",1,0)))</f>
        <v>1</v>
      </c>
      <c r="C47" s="98">
        <f t="shared" si="2"/>
        <v>45654</v>
      </c>
      <c r="D47" s="99" t="str">
        <f t="shared" si="1"/>
        <v>土</v>
      </c>
      <c r="E47" s="100"/>
      <c r="F47" s="101"/>
      <c r="G47" s="102"/>
      <c r="H47" s="102"/>
      <c r="I47" s="103"/>
      <c r="J47" s="104"/>
      <c r="K47" s="102"/>
      <c r="L47" s="102"/>
      <c r="M47" s="141"/>
      <c r="N47" s="99"/>
      <c r="O47" s="153"/>
      <c r="P47" s="66"/>
      <c r="Q47" s="66"/>
      <c r="R47" s="66"/>
      <c r="S47" s="67"/>
      <c r="T47" s="104"/>
      <c r="U47" s="101"/>
      <c r="V47" s="102"/>
      <c r="W47" s="102" t="str">
        <f>IFERROR(FLOOR(K47,TIME(0,VLOOKUP($C$3,#REF!,22,0),0)),"")</f>
        <v/>
      </c>
      <c r="X47" s="105"/>
      <c r="Y47" s="147"/>
      <c r="Z47" s="148"/>
      <c r="AA47" s="148"/>
      <c r="AB47" s="148"/>
      <c r="AC47" s="148"/>
      <c r="AD47" s="148"/>
      <c r="AE47" s="148"/>
      <c r="AF47" s="148"/>
      <c r="AG47" s="149">
        <f t="shared" si="7"/>
        <v>0</v>
      </c>
    </row>
    <row r="48" spans="1:33" ht="17.100000000000001" customHeight="1" x14ac:dyDescent="0.45">
      <c r="A48" s="60">
        <f>IF(COUNTIFS(祝日参照用!A:A,C48)=1,1,IF(D48="土",1,IF(D48="日",1,0)))</f>
        <v>1</v>
      </c>
      <c r="C48" s="98">
        <f t="shared" si="2"/>
        <v>45655</v>
      </c>
      <c r="D48" s="99" t="str">
        <f t="shared" si="1"/>
        <v>日</v>
      </c>
      <c r="E48" s="100"/>
      <c r="F48" s="101"/>
      <c r="G48" s="102"/>
      <c r="H48" s="102"/>
      <c r="I48" s="103"/>
      <c r="J48" s="104"/>
      <c r="K48" s="102"/>
      <c r="L48" s="102"/>
      <c r="M48" s="141"/>
      <c r="N48" s="99"/>
      <c r="O48" s="153"/>
      <c r="P48" s="66"/>
      <c r="Q48" s="66"/>
      <c r="R48" s="66"/>
      <c r="S48" s="67"/>
      <c r="T48" s="104"/>
      <c r="U48" s="101"/>
      <c r="V48" s="102"/>
      <c r="W48" s="102" t="str">
        <f>IFERROR(FLOOR(K48,TIME(0,VLOOKUP($C$3,#REF!,22,0),0)),"")</f>
        <v/>
      </c>
      <c r="X48" s="105"/>
      <c r="Y48" s="147"/>
      <c r="Z48" s="148"/>
      <c r="AA48" s="148"/>
      <c r="AB48" s="148"/>
      <c r="AC48" s="148"/>
      <c r="AD48" s="148"/>
      <c r="AE48" s="148"/>
      <c r="AF48" s="148"/>
      <c r="AG48" s="149">
        <f t="shared" si="7"/>
        <v>0</v>
      </c>
    </row>
    <row r="49" spans="1:33" ht="17.100000000000001" customHeight="1" x14ac:dyDescent="0.45">
      <c r="A49" s="60">
        <f>IF(COUNTIFS(祝日参照用!A:A,C49)=1,1,IF(D49="土",1,IF(D49="日",1,0)))</f>
        <v>0</v>
      </c>
      <c r="C49" s="98">
        <f t="shared" si="2"/>
        <v>45656</v>
      </c>
      <c r="D49" s="99" t="str">
        <f t="shared" si="1"/>
        <v>月</v>
      </c>
      <c r="E49" s="100"/>
      <c r="F49" s="101"/>
      <c r="G49" s="102"/>
      <c r="H49" s="102"/>
      <c r="I49" s="103"/>
      <c r="J49" s="104"/>
      <c r="K49" s="102"/>
      <c r="L49" s="102"/>
      <c r="M49" s="141"/>
      <c r="N49" s="99"/>
      <c r="O49" s="153"/>
      <c r="P49" s="66"/>
      <c r="Q49" s="66"/>
      <c r="R49" s="66"/>
      <c r="S49" s="67"/>
      <c r="T49" s="104"/>
      <c r="U49" s="101"/>
      <c r="V49" s="102"/>
      <c r="W49" s="102"/>
      <c r="X49" s="105"/>
      <c r="Y49" s="147"/>
      <c r="Z49" s="148"/>
      <c r="AA49" s="148"/>
      <c r="AB49" s="148"/>
      <c r="AC49" s="148"/>
      <c r="AD49" s="148"/>
      <c r="AE49" s="148"/>
      <c r="AF49" s="148"/>
      <c r="AG49" s="149">
        <f t="shared" si="7"/>
        <v>0</v>
      </c>
    </row>
    <row r="50" spans="1:33" ht="17.100000000000001" customHeight="1" thickBot="1" x14ac:dyDescent="0.5">
      <c r="A50" s="60">
        <f>IF(COUNTIFS(祝日参照用!A:A,C50)=1,1,IF(D50="土",1,IF(D50="日",1,0)))</f>
        <v>0</v>
      </c>
      <c r="C50" s="98">
        <f t="shared" si="2"/>
        <v>45657</v>
      </c>
      <c r="D50" s="99" t="str">
        <f t="shared" si="1"/>
        <v>火</v>
      </c>
      <c r="E50" s="100"/>
      <c r="F50" s="101"/>
      <c r="G50" s="102"/>
      <c r="H50" s="102"/>
      <c r="I50" s="103"/>
      <c r="J50" s="104"/>
      <c r="K50" s="102"/>
      <c r="L50" s="102"/>
      <c r="M50" s="141"/>
      <c r="N50" s="99"/>
      <c r="O50" s="153"/>
      <c r="P50" s="88"/>
      <c r="Q50" s="88"/>
      <c r="R50" s="88"/>
      <c r="S50" s="106"/>
      <c r="T50" s="104"/>
      <c r="U50" s="101"/>
      <c r="V50" s="102"/>
      <c r="W50" s="102"/>
      <c r="X50" s="105"/>
      <c r="Y50" s="150"/>
      <c r="Z50" s="151"/>
      <c r="AA50" s="151"/>
      <c r="AB50" s="151"/>
      <c r="AC50" s="151"/>
      <c r="AD50" s="151"/>
      <c r="AE50" s="151"/>
      <c r="AF50" s="151"/>
      <c r="AG50" s="152">
        <f t="shared" si="7"/>
        <v>0</v>
      </c>
    </row>
    <row r="51" spans="1:33" ht="17.100000000000001" customHeight="1" thickTop="1" x14ac:dyDescent="0.45">
      <c r="C51" s="61"/>
      <c r="D51" s="61"/>
      <c r="E51" s="61"/>
      <c r="F51" s="61"/>
      <c r="J51" s="107">
        <f t="shared" ref="J51:N51" si="8">SUM(J20:J50)</f>
        <v>0.83333333333333481</v>
      </c>
      <c r="K51" s="107">
        <f t="shared" si="8"/>
        <v>6.208333333333333</v>
      </c>
      <c r="L51" s="107">
        <f t="shared" si="8"/>
        <v>0</v>
      </c>
      <c r="M51" s="107">
        <f t="shared" si="8"/>
        <v>0</v>
      </c>
      <c r="N51" s="107">
        <f t="shared" si="8"/>
        <v>0</v>
      </c>
      <c r="O51" s="153"/>
      <c r="T51" s="61"/>
      <c r="U51" s="61"/>
      <c r="V51" s="107">
        <f t="shared" ref="V51:W51" si="9">SUM(V20:V50)</f>
        <v>6.208333333333333</v>
      </c>
      <c r="W51" s="107">
        <f t="shared" si="9"/>
        <v>0</v>
      </c>
      <c r="X51" s="105"/>
      <c r="Y51" s="108"/>
      <c r="Z51" s="108"/>
      <c r="AA51" s="108"/>
      <c r="AB51" s="108"/>
      <c r="AC51" s="108"/>
      <c r="AD51" s="108"/>
      <c r="AE51" s="108"/>
      <c r="AF51" s="108"/>
      <c r="AG51" s="109"/>
    </row>
    <row r="52" spans="1:33" ht="17.100000000000001" customHeight="1" x14ac:dyDescent="0.4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4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4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4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4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4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4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4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4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4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4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4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4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4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4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4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4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4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4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4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4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4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4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4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4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4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4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4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4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4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4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4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4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4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4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4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4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4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4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4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4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4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4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4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4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4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4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4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4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4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4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4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4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4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4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4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4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4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4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4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4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4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4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4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4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4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4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4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4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4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4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4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4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4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4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4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4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4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4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4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4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4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4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4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4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4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4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4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4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4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4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4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4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4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4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4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4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4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4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4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4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4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4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4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4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4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4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4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4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4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4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4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4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4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4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4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4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4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4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4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4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4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4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4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4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4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4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4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4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4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4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4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4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4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4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4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4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4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4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4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4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4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4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4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4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4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4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4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4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4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4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4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4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4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4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4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4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4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4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4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4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4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4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4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4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4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4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4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4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4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4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4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4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4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4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4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4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4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4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4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4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4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4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4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4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4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4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4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4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4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4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4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4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4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4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4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4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4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4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4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45">
      <c r="S252" s="61"/>
      <c r="T252" s="61"/>
      <c r="U252" s="61"/>
      <c r="V252" s="61"/>
      <c r="W252" s="58"/>
    </row>
    <row r="253" spans="3:23" ht="15.75" customHeight="1" x14ac:dyDescent="0.45">
      <c r="S253" s="61"/>
      <c r="T253" s="61"/>
      <c r="U253" s="61"/>
      <c r="V253" s="61"/>
      <c r="W253" s="58"/>
    </row>
    <row r="254" spans="3:23" ht="15.75" customHeight="1" x14ac:dyDescent="0.45">
      <c r="S254" s="61"/>
      <c r="T254" s="61"/>
      <c r="U254" s="61"/>
      <c r="V254" s="61"/>
      <c r="W254" s="58"/>
    </row>
    <row r="255" spans="3:23" ht="15.75" customHeight="1" x14ac:dyDescent="0.45">
      <c r="S255" s="61"/>
      <c r="T255" s="61"/>
      <c r="U255" s="61"/>
      <c r="V255" s="61"/>
      <c r="W255" s="58"/>
    </row>
    <row r="256" spans="3:23" ht="15.75" customHeight="1" x14ac:dyDescent="0.45">
      <c r="S256" s="61"/>
      <c r="T256" s="61"/>
      <c r="U256" s="61"/>
      <c r="V256" s="61"/>
      <c r="W256" s="58"/>
    </row>
    <row r="257" spans="19:23" ht="15.75" customHeight="1" x14ac:dyDescent="0.45">
      <c r="S257" s="61"/>
      <c r="T257" s="61"/>
      <c r="U257" s="61"/>
      <c r="V257" s="61"/>
      <c r="W257" s="58"/>
    </row>
    <row r="258" spans="19:23" ht="15.75" customHeight="1" x14ac:dyDescent="0.45">
      <c r="S258" s="61"/>
      <c r="T258" s="61"/>
      <c r="U258" s="61"/>
      <c r="V258" s="61"/>
      <c r="W258" s="58"/>
    </row>
    <row r="259" spans="19:23" ht="15.75" customHeight="1" x14ac:dyDescent="0.45">
      <c r="S259" s="61"/>
      <c r="T259" s="61"/>
      <c r="U259" s="61"/>
      <c r="V259" s="61"/>
      <c r="W259" s="58"/>
    </row>
    <row r="260" spans="19:23" ht="15.75" customHeight="1" x14ac:dyDescent="0.45">
      <c r="S260" s="61"/>
      <c r="T260" s="61"/>
      <c r="U260" s="61"/>
      <c r="V260" s="61"/>
      <c r="W260" s="58"/>
    </row>
    <row r="261" spans="19:23" ht="15.75" customHeight="1" x14ac:dyDescent="0.45">
      <c r="S261" s="61"/>
      <c r="T261" s="61"/>
      <c r="U261" s="61"/>
      <c r="V261" s="61"/>
      <c r="W261" s="58"/>
    </row>
    <row r="262" spans="19:23" ht="15.75" customHeight="1" x14ac:dyDescent="0.45">
      <c r="S262" s="61"/>
      <c r="T262" s="61"/>
      <c r="U262" s="61"/>
      <c r="V262" s="61"/>
      <c r="W262" s="58"/>
    </row>
    <row r="263" spans="19:23" ht="15.75" customHeight="1" x14ac:dyDescent="0.45">
      <c r="S263" s="61"/>
      <c r="T263" s="61"/>
      <c r="U263" s="61"/>
      <c r="V263" s="61"/>
      <c r="W263" s="58"/>
    </row>
    <row r="264" spans="19:23" ht="15.75" customHeight="1" x14ac:dyDescent="0.45">
      <c r="S264" s="61"/>
      <c r="T264" s="61"/>
      <c r="U264" s="61"/>
      <c r="V264" s="61"/>
      <c r="W264" s="58"/>
    </row>
    <row r="265" spans="19:23" ht="15.75" customHeight="1" x14ac:dyDescent="0.45">
      <c r="S265" s="61"/>
      <c r="T265" s="61"/>
      <c r="U265" s="61"/>
      <c r="V265" s="61"/>
      <c r="W265" s="58"/>
    </row>
    <row r="266" spans="19:23" ht="15.75" customHeight="1" x14ac:dyDescent="0.45">
      <c r="S266" s="61"/>
      <c r="T266" s="61"/>
      <c r="U266" s="61"/>
      <c r="V266" s="61"/>
      <c r="W266" s="58"/>
    </row>
    <row r="267" spans="19:23" ht="15.75" customHeight="1" x14ac:dyDescent="0.45">
      <c r="S267" s="61"/>
      <c r="T267" s="61"/>
      <c r="U267" s="61"/>
      <c r="V267" s="61"/>
      <c r="W267" s="58"/>
    </row>
    <row r="268" spans="19:23" ht="15.75" customHeight="1" x14ac:dyDescent="0.45">
      <c r="S268" s="61"/>
      <c r="T268" s="61"/>
      <c r="U268" s="61"/>
      <c r="V268" s="61"/>
      <c r="W268" s="58"/>
    </row>
    <row r="269" spans="19:23" ht="15.75" customHeight="1" x14ac:dyDescent="0.45">
      <c r="S269" s="61"/>
      <c r="T269" s="61"/>
      <c r="U269" s="61"/>
      <c r="V269" s="61"/>
      <c r="W269" s="58"/>
    </row>
    <row r="270" spans="19:23" ht="15.75" customHeight="1" x14ac:dyDescent="0.45">
      <c r="S270" s="61"/>
      <c r="T270" s="61"/>
      <c r="U270" s="61"/>
      <c r="V270" s="61"/>
      <c r="W270" s="58"/>
    </row>
    <row r="271" spans="19:23" ht="15.75" customHeight="1" x14ac:dyDescent="0.45">
      <c r="S271" s="61"/>
      <c r="T271" s="61"/>
      <c r="U271" s="61"/>
      <c r="V271" s="61"/>
      <c r="W271" s="58"/>
    </row>
    <row r="272" spans="19:23" ht="15.75" customHeight="1" x14ac:dyDescent="0.45">
      <c r="S272" s="61"/>
      <c r="T272" s="61"/>
      <c r="U272" s="61"/>
      <c r="V272" s="61"/>
      <c r="W272" s="58"/>
    </row>
    <row r="273" spans="19:23" ht="15.75" customHeight="1" x14ac:dyDescent="0.45">
      <c r="S273" s="61"/>
      <c r="T273" s="61"/>
      <c r="U273" s="61"/>
      <c r="V273" s="61"/>
      <c r="W273" s="58"/>
    </row>
    <row r="274" spans="19:23" ht="15.75" customHeight="1" x14ac:dyDescent="0.45">
      <c r="S274" s="61"/>
      <c r="T274" s="61"/>
      <c r="U274" s="61"/>
      <c r="V274" s="61"/>
      <c r="W274" s="58"/>
    </row>
    <row r="275" spans="19:23" ht="15.75" customHeight="1" x14ac:dyDescent="0.45">
      <c r="S275" s="61"/>
      <c r="T275" s="61"/>
      <c r="U275" s="61"/>
      <c r="V275" s="61"/>
      <c r="W275" s="58"/>
    </row>
    <row r="276" spans="19:23" ht="15.75" customHeight="1" x14ac:dyDescent="0.45">
      <c r="S276" s="61"/>
      <c r="T276" s="61"/>
      <c r="U276" s="61"/>
      <c r="V276" s="61"/>
      <c r="W276" s="58"/>
    </row>
    <row r="277" spans="19:23" ht="15.75" customHeight="1" x14ac:dyDescent="0.45">
      <c r="S277" s="61"/>
      <c r="T277" s="61"/>
      <c r="U277" s="61"/>
      <c r="V277" s="61"/>
      <c r="W277" s="58"/>
    </row>
    <row r="278" spans="19:23" ht="15.75" customHeight="1" x14ac:dyDescent="0.45">
      <c r="S278" s="61"/>
      <c r="T278" s="61"/>
      <c r="U278" s="61"/>
      <c r="V278" s="61"/>
      <c r="W278" s="58"/>
    </row>
    <row r="279" spans="19:23" ht="15.75" customHeight="1" x14ac:dyDescent="0.45">
      <c r="S279" s="61"/>
      <c r="T279" s="61"/>
      <c r="U279" s="61"/>
      <c r="V279" s="61"/>
      <c r="W279" s="58"/>
    </row>
    <row r="280" spans="19:23" ht="15.75" customHeight="1" x14ac:dyDescent="0.45">
      <c r="S280" s="61"/>
      <c r="T280" s="61"/>
      <c r="U280" s="61"/>
      <c r="V280" s="61"/>
      <c r="W280" s="58"/>
    </row>
    <row r="281" spans="19:23" ht="15.75" customHeight="1" x14ac:dyDescent="0.45">
      <c r="S281" s="61"/>
      <c r="T281" s="61"/>
      <c r="U281" s="61"/>
      <c r="V281" s="61"/>
      <c r="W281" s="58"/>
    </row>
    <row r="282" spans="19:23" ht="15.75" customHeight="1" x14ac:dyDescent="0.45">
      <c r="S282" s="61"/>
      <c r="T282" s="61"/>
      <c r="U282" s="61"/>
      <c r="V282" s="61"/>
      <c r="W282" s="58"/>
    </row>
    <row r="283" spans="19:23" ht="15.75" customHeight="1" x14ac:dyDescent="0.45">
      <c r="S283" s="61"/>
      <c r="T283" s="61"/>
      <c r="U283" s="61"/>
      <c r="V283" s="61"/>
      <c r="W283" s="58"/>
    </row>
    <row r="284" spans="19:23" ht="15.75" customHeight="1" x14ac:dyDescent="0.45">
      <c r="S284" s="61"/>
      <c r="T284" s="61"/>
      <c r="U284" s="61"/>
      <c r="V284" s="61"/>
      <c r="W284" s="58"/>
    </row>
    <row r="285" spans="19:23" ht="15.75" customHeight="1" x14ac:dyDescent="0.45">
      <c r="S285" s="61"/>
      <c r="T285" s="61"/>
      <c r="U285" s="61"/>
      <c r="V285" s="61"/>
      <c r="W285" s="58"/>
    </row>
    <row r="286" spans="19:23" ht="15.75" customHeight="1" x14ac:dyDescent="0.45">
      <c r="S286" s="61"/>
      <c r="T286" s="61"/>
      <c r="U286" s="61"/>
      <c r="V286" s="61"/>
      <c r="W286" s="58"/>
    </row>
    <row r="287" spans="19:23" ht="15.75" customHeight="1" x14ac:dyDescent="0.45">
      <c r="S287" s="61"/>
      <c r="T287" s="61"/>
      <c r="U287" s="61"/>
      <c r="V287" s="61"/>
      <c r="W287" s="58"/>
    </row>
    <row r="288" spans="19:23" ht="15.75" customHeight="1" x14ac:dyDescent="0.45">
      <c r="S288" s="61"/>
      <c r="T288" s="61"/>
      <c r="U288" s="61"/>
      <c r="V288" s="61"/>
      <c r="W288" s="58"/>
    </row>
    <row r="289" spans="19:23" ht="15.75" customHeight="1" x14ac:dyDescent="0.45">
      <c r="S289" s="61"/>
      <c r="T289" s="61"/>
      <c r="U289" s="61"/>
      <c r="V289" s="61"/>
      <c r="W289" s="58"/>
    </row>
    <row r="290" spans="19:23" ht="15.75" customHeight="1" x14ac:dyDescent="0.45">
      <c r="S290" s="61"/>
      <c r="T290" s="61"/>
      <c r="U290" s="61"/>
      <c r="V290" s="61"/>
      <c r="W290" s="58"/>
    </row>
    <row r="291" spans="19:23" ht="15.75" customHeight="1" x14ac:dyDescent="0.45">
      <c r="S291" s="61"/>
      <c r="T291" s="61"/>
      <c r="U291" s="61"/>
      <c r="V291" s="61"/>
      <c r="W291" s="58"/>
    </row>
    <row r="292" spans="19:23" ht="15.75" customHeight="1" x14ac:dyDescent="0.45">
      <c r="S292" s="61"/>
      <c r="T292" s="61"/>
      <c r="U292" s="61"/>
      <c r="V292" s="61"/>
      <c r="W292" s="58"/>
    </row>
    <row r="293" spans="19:23" ht="15.75" customHeight="1" x14ac:dyDescent="0.45">
      <c r="S293" s="61"/>
      <c r="T293" s="61"/>
      <c r="U293" s="61"/>
      <c r="V293" s="61"/>
      <c r="W293" s="58"/>
    </row>
    <row r="294" spans="19:23" ht="15.75" customHeight="1" x14ac:dyDescent="0.45">
      <c r="S294" s="61"/>
      <c r="T294" s="61"/>
      <c r="U294" s="61"/>
      <c r="V294" s="61"/>
      <c r="W294" s="58"/>
    </row>
    <row r="295" spans="19:23" ht="15.75" customHeight="1" x14ac:dyDescent="0.45">
      <c r="S295" s="61"/>
      <c r="T295" s="61"/>
      <c r="U295" s="61"/>
      <c r="V295" s="61"/>
      <c r="W295" s="58"/>
    </row>
    <row r="296" spans="19:23" ht="15.75" customHeight="1" x14ac:dyDescent="0.45">
      <c r="S296" s="61"/>
      <c r="T296" s="61"/>
      <c r="U296" s="61"/>
      <c r="V296" s="61"/>
      <c r="W296" s="58"/>
    </row>
    <row r="297" spans="19:23" ht="15.75" customHeight="1" x14ac:dyDescent="0.45">
      <c r="S297" s="61"/>
      <c r="T297" s="61"/>
      <c r="U297" s="61"/>
      <c r="V297" s="61"/>
      <c r="W297" s="58"/>
    </row>
    <row r="298" spans="19:23" ht="15.75" customHeight="1" x14ac:dyDescent="0.45">
      <c r="S298" s="61"/>
      <c r="T298" s="61"/>
      <c r="U298" s="61"/>
      <c r="V298" s="61"/>
      <c r="W298" s="58"/>
    </row>
    <row r="299" spans="19:23" ht="15.75" customHeight="1" x14ac:dyDescent="0.45">
      <c r="S299" s="61"/>
      <c r="T299" s="61"/>
      <c r="U299" s="61"/>
      <c r="V299" s="61"/>
      <c r="W299" s="58"/>
    </row>
    <row r="300" spans="19:23" ht="15.75" customHeight="1" x14ac:dyDescent="0.45">
      <c r="S300" s="61"/>
      <c r="T300" s="61"/>
      <c r="U300" s="61"/>
      <c r="V300" s="61"/>
      <c r="W300" s="58"/>
    </row>
    <row r="301" spans="19:23" ht="15.75" customHeight="1" x14ac:dyDescent="0.45">
      <c r="S301" s="61"/>
      <c r="T301" s="61"/>
      <c r="U301" s="61"/>
      <c r="V301" s="61"/>
      <c r="W301" s="58"/>
    </row>
    <row r="302" spans="19:23" ht="15.75" customHeight="1" x14ac:dyDescent="0.45">
      <c r="S302" s="61"/>
      <c r="T302" s="61"/>
      <c r="U302" s="61"/>
      <c r="V302" s="61"/>
      <c r="W302" s="58"/>
    </row>
    <row r="303" spans="19:23" ht="15.75" customHeight="1" x14ac:dyDescent="0.45">
      <c r="S303" s="61"/>
      <c r="T303" s="61"/>
      <c r="U303" s="61"/>
      <c r="V303" s="61"/>
      <c r="W303" s="58"/>
    </row>
    <row r="304" spans="19:23" ht="15.75" customHeight="1" x14ac:dyDescent="0.45">
      <c r="S304" s="61"/>
      <c r="T304" s="61"/>
      <c r="U304" s="61"/>
      <c r="V304" s="61"/>
      <c r="W304" s="58"/>
    </row>
    <row r="305" spans="19:23" ht="15.75" customHeight="1" x14ac:dyDescent="0.45">
      <c r="S305" s="61"/>
      <c r="T305" s="61"/>
      <c r="U305" s="61"/>
      <c r="V305" s="61"/>
      <c r="W305" s="58"/>
    </row>
    <row r="306" spans="19:23" ht="15.75" customHeight="1" x14ac:dyDescent="0.45">
      <c r="S306" s="61"/>
      <c r="T306" s="61"/>
      <c r="U306" s="61"/>
      <c r="V306" s="61"/>
      <c r="W306" s="58"/>
    </row>
    <row r="307" spans="19:23" ht="15.75" customHeight="1" x14ac:dyDescent="0.45">
      <c r="S307" s="61"/>
      <c r="T307" s="61"/>
      <c r="U307" s="61"/>
      <c r="V307" s="61"/>
      <c r="W307" s="58"/>
    </row>
    <row r="308" spans="19:23" ht="15.75" customHeight="1" x14ac:dyDescent="0.45">
      <c r="S308" s="61"/>
      <c r="T308" s="61"/>
      <c r="U308" s="61"/>
      <c r="V308" s="61"/>
      <c r="W308" s="58"/>
    </row>
    <row r="309" spans="19:23" ht="15.75" customHeight="1" x14ac:dyDescent="0.45">
      <c r="S309" s="61"/>
      <c r="T309" s="61"/>
      <c r="U309" s="61"/>
      <c r="V309" s="61"/>
      <c r="W309" s="58"/>
    </row>
    <row r="310" spans="19:23" ht="15.75" customHeight="1" x14ac:dyDescent="0.45">
      <c r="S310" s="61"/>
      <c r="T310" s="61"/>
      <c r="U310" s="61"/>
      <c r="V310" s="61"/>
      <c r="W310" s="58"/>
    </row>
    <row r="311" spans="19:23" ht="15.75" customHeight="1" x14ac:dyDescent="0.45">
      <c r="S311" s="61"/>
      <c r="T311" s="61"/>
      <c r="U311" s="61"/>
      <c r="V311" s="61"/>
      <c r="W311" s="58"/>
    </row>
    <row r="312" spans="19:23" ht="15.75" customHeight="1" x14ac:dyDescent="0.45">
      <c r="S312" s="61"/>
      <c r="T312" s="61"/>
      <c r="U312" s="61"/>
      <c r="V312" s="61"/>
      <c r="W312" s="58"/>
    </row>
    <row r="313" spans="19:23" ht="15.75" customHeight="1" x14ac:dyDescent="0.45">
      <c r="S313" s="61"/>
      <c r="T313" s="61"/>
      <c r="U313" s="61"/>
      <c r="V313" s="61"/>
      <c r="W313" s="58"/>
    </row>
    <row r="314" spans="19:23" ht="15.75" customHeight="1" x14ac:dyDescent="0.45">
      <c r="S314" s="61"/>
      <c r="T314" s="61"/>
      <c r="U314" s="61"/>
      <c r="V314" s="61"/>
      <c r="W314" s="58"/>
    </row>
    <row r="315" spans="19:23" ht="15.75" customHeight="1" x14ac:dyDescent="0.45">
      <c r="S315" s="61"/>
      <c r="T315" s="61"/>
      <c r="U315" s="61"/>
      <c r="V315" s="61"/>
      <c r="W315" s="58"/>
    </row>
    <row r="316" spans="19:23" ht="15.75" customHeight="1" x14ac:dyDescent="0.45">
      <c r="S316" s="61"/>
      <c r="T316" s="61"/>
      <c r="U316" s="61"/>
      <c r="V316" s="61"/>
      <c r="W316" s="58"/>
    </row>
    <row r="317" spans="19:23" ht="15.75" customHeight="1" x14ac:dyDescent="0.45">
      <c r="S317" s="61"/>
      <c r="T317" s="61"/>
      <c r="U317" s="61"/>
      <c r="V317" s="61"/>
      <c r="W317" s="58"/>
    </row>
    <row r="318" spans="19:23" ht="15.75" customHeight="1" x14ac:dyDescent="0.45">
      <c r="S318" s="61"/>
      <c r="T318" s="61"/>
      <c r="U318" s="61"/>
      <c r="V318" s="61"/>
      <c r="W318" s="58"/>
    </row>
    <row r="319" spans="19:23" ht="15.75" customHeight="1" x14ac:dyDescent="0.45">
      <c r="S319" s="61"/>
      <c r="T319" s="61"/>
      <c r="U319" s="61"/>
      <c r="V319" s="61"/>
      <c r="W319" s="58"/>
    </row>
    <row r="320" spans="19:23" ht="15.75" customHeight="1" x14ac:dyDescent="0.45">
      <c r="S320" s="61"/>
      <c r="T320" s="61"/>
      <c r="U320" s="61"/>
      <c r="V320" s="61"/>
      <c r="W320" s="58"/>
    </row>
    <row r="321" spans="19:23" ht="15.75" customHeight="1" x14ac:dyDescent="0.45">
      <c r="S321" s="61"/>
      <c r="T321" s="61"/>
      <c r="U321" s="61"/>
      <c r="V321" s="61"/>
      <c r="W321" s="58"/>
    </row>
    <row r="322" spans="19:23" ht="15.75" customHeight="1" x14ac:dyDescent="0.45">
      <c r="S322" s="61"/>
      <c r="T322" s="61"/>
      <c r="U322" s="61"/>
      <c r="V322" s="61"/>
      <c r="W322" s="58"/>
    </row>
    <row r="323" spans="19:23" ht="15.75" customHeight="1" x14ac:dyDescent="0.45">
      <c r="S323" s="61"/>
      <c r="T323" s="61"/>
      <c r="U323" s="61"/>
      <c r="V323" s="61"/>
      <c r="W323" s="58"/>
    </row>
    <row r="324" spans="19:23" ht="15.75" customHeight="1" x14ac:dyDescent="0.45">
      <c r="S324" s="61"/>
      <c r="T324" s="61"/>
      <c r="U324" s="61"/>
      <c r="V324" s="61"/>
      <c r="W324" s="58"/>
    </row>
    <row r="325" spans="19:23" ht="15.75" customHeight="1" x14ac:dyDescent="0.45">
      <c r="S325" s="61"/>
      <c r="T325" s="61"/>
      <c r="U325" s="61"/>
      <c r="V325" s="61"/>
      <c r="W325" s="58"/>
    </row>
    <row r="326" spans="19:23" ht="15.75" customHeight="1" x14ac:dyDescent="0.45">
      <c r="S326" s="61"/>
      <c r="T326" s="61"/>
      <c r="U326" s="61"/>
      <c r="V326" s="61"/>
      <c r="W326" s="58"/>
    </row>
    <row r="327" spans="19:23" ht="15.75" customHeight="1" x14ac:dyDescent="0.45">
      <c r="S327" s="61"/>
      <c r="T327" s="61"/>
      <c r="U327" s="61"/>
      <c r="V327" s="61"/>
      <c r="W327" s="58"/>
    </row>
    <row r="328" spans="19:23" ht="15.75" customHeight="1" x14ac:dyDescent="0.45">
      <c r="S328" s="61"/>
      <c r="T328" s="61"/>
      <c r="U328" s="61"/>
      <c r="V328" s="61"/>
      <c r="W328" s="58"/>
    </row>
    <row r="329" spans="19:23" ht="15.75" customHeight="1" x14ac:dyDescent="0.45">
      <c r="S329" s="61"/>
      <c r="T329" s="61"/>
      <c r="U329" s="61"/>
      <c r="V329" s="61"/>
      <c r="W329" s="58"/>
    </row>
    <row r="330" spans="19:23" ht="15.75" customHeight="1" x14ac:dyDescent="0.45">
      <c r="S330" s="61"/>
      <c r="T330" s="61"/>
      <c r="U330" s="61"/>
      <c r="V330" s="61"/>
      <c r="W330" s="58"/>
    </row>
    <row r="331" spans="19:23" ht="15.75" customHeight="1" x14ac:dyDescent="0.45">
      <c r="S331" s="61"/>
      <c r="T331" s="61"/>
      <c r="U331" s="61"/>
      <c r="V331" s="61"/>
      <c r="W331" s="58"/>
    </row>
    <row r="332" spans="19:23" ht="15.75" customHeight="1" x14ac:dyDescent="0.45">
      <c r="S332" s="61"/>
      <c r="T332" s="61"/>
      <c r="U332" s="61"/>
      <c r="V332" s="61"/>
      <c r="W332" s="58"/>
    </row>
    <row r="333" spans="19:23" ht="15.75" customHeight="1" x14ac:dyDescent="0.45">
      <c r="S333" s="61"/>
      <c r="T333" s="61"/>
      <c r="U333" s="61"/>
      <c r="V333" s="61"/>
      <c r="W333" s="58"/>
    </row>
    <row r="334" spans="19:23" ht="15.75" customHeight="1" x14ac:dyDescent="0.45">
      <c r="S334" s="61"/>
      <c r="T334" s="61"/>
      <c r="U334" s="61"/>
      <c r="V334" s="61"/>
      <c r="W334" s="58"/>
    </row>
    <row r="335" spans="19:23" ht="15.75" customHeight="1" x14ac:dyDescent="0.45">
      <c r="S335" s="61"/>
      <c r="T335" s="61"/>
      <c r="U335" s="61"/>
      <c r="V335" s="61"/>
      <c r="W335" s="58"/>
    </row>
    <row r="336" spans="19:23" ht="15.75" customHeight="1" x14ac:dyDescent="0.45">
      <c r="S336" s="61"/>
      <c r="T336" s="61"/>
      <c r="U336" s="61"/>
      <c r="V336" s="61"/>
      <c r="W336" s="58"/>
    </row>
    <row r="337" spans="19:23" ht="15.75" customHeight="1" x14ac:dyDescent="0.45">
      <c r="S337" s="61"/>
      <c r="T337" s="61"/>
      <c r="U337" s="61"/>
      <c r="V337" s="61"/>
      <c r="W337" s="58"/>
    </row>
    <row r="338" spans="19:23" ht="15.75" customHeight="1" x14ac:dyDescent="0.45">
      <c r="S338" s="61"/>
      <c r="T338" s="61"/>
      <c r="U338" s="61"/>
      <c r="V338" s="61"/>
      <c r="W338" s="58"/>
    </row>
    <row r="339" spans="19:23" ht="15.75" customHeight="1" x14ac:dyDescent="0.45">
      <c r="S339" s="61"/>
      <c r="T339" s="61"/>
      <c r="U339" s="61"/>
      <c r="V339" s="61"/>
      <c r="W339" s="58"/>
    </row>
    <row r="340" spans="19:23" ht="15.75" customHeight="1" x14ac:dyDescent="0.45">
      <c r="S340" s="61"/>
      <c r="T340" s="61"/>
      <c r="U340" s="61"/>
      <c r="V340" s="61"/>
      <c r="W340" s="58"/>
    </row>
    <row r="341" spans="19:23" ht="15.75" customHeight="1" x14ac:dyDescent="0.45">
      <c r="S341" s="61"/>
      <c r="T341" s="61"/>
      <c r="U341" s="61"/>
      <c r="V341" s="61"/>
      <c r="W341" s="58"/>
    </row>
    <row r="342" spans="19:23" ht="15.75" customHeight="1" x14ac:dyDescent="0.45">
      <c r="S342" s="61"/>
      <c r="T342" s="61"/>
      <c r="U342" s="61"/>
      <c r="V342" s="61"/>
      <c r="W342" s="58"/>
    </row>
    <row r="343" spans="19:23" ht="15.75" customHeight="1" x14ac:dyDescent="0.45">
      <c r="S343" s="61"/>
      <c r="T343" s="61"/>
      <c r="U343" s="61"/>
      <c r="V343" s="61"/>
      <c r="W343" s="58"/>
    </row>
    <row r="344" spans="19:23" ht="15.75" customHeight="1" x14ac:dyDescent="0.45">
      <c r="S344" s="61"/>
      <c r="T344" s="61"/>
      <c r="U344" s="61"/>
      <c r="V344" s="61"/>
      <c r="W344" s="58"/>
    </row>
    <row r="345" spans="19:23" ht="15.75" customHeight="1" x14ac:dyDescent="0.45">
      <c r="S345" s="61"/>
      <c r="T345" s="61"/>
      <c r="U345" s="61"/>
      <c r="V345" s="61"/>
      <c r="W345" s="58"/>
    </row>
    <row r="346" spans="19:23" ht="15.75" customHeight="1" x14ac:dyDescent="0.45">
      <c r="S346" s="61"/>
      <c r="T346" s="61"/>
      <c r="U346" s="61"/>
      <c r="V346" s="61"/>
      <c r="W346" s="58"/>
    </row>
    <row r="347" spans="19:23" ht="15.75" customHeight="1" x14ac:dyDescent="0.45">
      <c r="S347" s="61"/>
      <c r="T347" s="61"/>
      <c r="U347" s="61"/>
      <c r="V347" s="61"/>
      <c r="W347" s="58"/>
    </row>
    <row r="348" spans="19:23" ht="15.75" customHeight="1" x14ac:dyDescent="0.45">
      <c r="S348" s="61"/>
      <c r="T348" s="61"/>
      <c r="U348" s="61"/>
      <c r="V348" s="61"/>
      <c r="W348" s="58"/>
    </row>
    <row r="349" spans="19:23" ht="15.75" customHeight="1" x14ac:dyDescent="0.45">
      <c r="S349" s="61"/>
      <c r="T349" s="61"/>
      <c r="U349" s="61"/>
      <c r="V349" s="61"/>
      <c r="W349" s="58"/>
    </row>
    <row r="350" spans="19:23" ht="15.75" customHeight="1" x14ac:dyDescent="0.45">
      <c r="S350" s="61"/>
      <c r="T350" s="61"/>
      <c r="U350" s="61"/>
      <c r="V350" s="61"/>
      <c r="W350" s="58"/>
    </row>
    <row r="351" spans="19:23" ht="15.75" customHeight="1" x14ac:dyDescent="0.45">
      <c r="S351" s="61"/>
      <c r="T351" s="61"/>
      <c r="U351" s="61"/>
      <c r="V351" s="61"/>
      <c r="W351" s="58"/>
    </row>
    <row r="352" spans="19:23" ht="15.75" customHeight="1" x14ac:dyDescent="0.45">
      <c r="S352" s="61"/>
      <c r="T352" s="61"/>
      <c r="U352" s="61"/>
      <c r="V352" s="61"/>
      <c r="W352" s="58"/>
    </row>
    <row r="353" spans="19:23" ht="15.75" customHeight="1" x14ac:dyDescent="0.45">
      <c r="S353" s="61"/>
      <c r="T353" s="61"/>
      <c r="U353" s="61"/>
      <c r="V353" s="61"/>
      <c r="W353" s="58"/>
    </row>
    <row r="354" spans="19:23" ht="15.75" customHeight="1" x14ac:dyDescent="0.45">
      <c r="S354" s="61"/>
      <c r="T354" s="61"/>
      <c r="U354" s="61"/>
      <c r="V354" s="61"/>
      <c r="W354" s="58"/>
    </row>
    <row r="355" spans="19:23" ht="15.75" customHeight="1" x14ac:dyDescent="0.45">
      <c r="S355" s="61"/>
      <c r="T355" s="61"/>
      <c r="U355" s="61"/>
      <c r="V355" s="61"/>
      <c r="W355" s="58"/>
    </row>
    <row r="356" spans="19:23" ht="15.75" customHeight="1" x14ac:dyDescent="0.45">
      <c r="S356" s="61"/>
      <c r="T356" s="61"/>
      <c r="U356" s="61"/>
      <c r="V356" s="61"/>
      <c r="W356" s="58"/>
    </row>
    <row r="357" spans="19:23" ht="15.75" customHeight="1" x14ac:dyDescent="0.45">
      <c r="S357" s="61"/>
      <c r="T357" s="61"/>
      <c r="U357" s="61"/>
      <c r="V357" s="61"/>
      <c r="W357" s="58"/>
    </row>
    <row r="358" spans="19:23" ht="15.75" customHeight="1" x14ac:dyDescent="0.45">
      <c r="S358" s="61"/>
      <c r="T358" s="61"/>
      <c r="U358" s="61"/>
      <c r="V358" s="61"/>
      <c r="W358" s="58"/>
    </row>
    <row r="359" spans="19:23" ht="15.75" customHeight="1" x14ac:dyDescent="0.45">
      <c r="S359" s="61"/>
      <c r="T359" s="61"/>
      <c r="U359" s="61"/>
      <c r="V359" s="61"/>
      <c r="W359" s="58"/>
    </row>
    <row r="360" spans="19:23" ht="15.75" customHeight="1" x14ac:dyDescent="0.45">
      <c r="S360" s="61"/>
      <c r="T360" s="61"/>
      <c r="U360" s="61"/>
      <c r="V360" s="61"/>
      <c r="W360" s="58"/>
    </row>
    <row r="361" spans="19:23" ht="15.75" customHeight="1" x14ac:dyDescent="0.45">
      <c r="S361" s="61"/>
      <c r="T361" s="61"/>
      <c r="U361" s="61"/>
      <c r="V361" s="61"/>
      <c r="W361" s="58"/>
    </row>
    <row r="362" spans="19:23" ht="15.75" customHeight="1" x14ac:dyDescent="0.45">
      <c r="S362" s="61"/>
      <c r="T362" s="61"/>
      <c r="U362" s="61"/>
      <c r="V362" s="61"/>
      <c r="W362" s="58"/>
    </row>
    <row r="363" spans="19:23" ht="15.75" customHeight="1" x14ac:dyDescent="0.45">
      <c r="S363" s="61"/>
      <c r="T363" s="61"/>
      <c r="U363" s="61"/>
      <c r="V363" s="61"/>
      <c r="W363" s="58"/>
    </row>
    <row r="364" spans="19:23" ht="15.75" customHeight="1" x14ac:dyDescent="0.45">
      <c r="S364" s="61"/>
      <c r="T364" s="61"/>
      <c r="U364" s="61"/>
      <c r="V364" s="61"/>
      <c r="W364" s="58"/>
    </row>
    <row r="365" spans="19:23" ht="15.75" customHeight="1" x14ac:dyDescent="0.45">
      <c r="S365" s="61"/>
      <c r="T365" s="61"/>
      <c r="U365" s="61"/>
      <c r="V365" s="61"/>
      <c r="W365" s="58"/>
    </row>
    <row r="366" spans="19:23" ht="15.75" customHeight="1" x14ac:dyDescent="0.45">
      <c r="S366" s="61"/>
      <c r="T366" s="61"/>
      <c r="U366" s="61"/>
      <c r="V366" s="61"/>
      <c r="W366" s="58"/>
    </row>
    <row r="367" spans="19:23" ht="15.75" customHeight="1" x14ac:dyDescent="0.45">
      <c r="S367" s="61"/>
      <c r="T367" s="61"/>
      <c r="U367" s="61"/>
      <c r="V367" s="61"/>
      <c r="W367" s="58"/>
    </row>
    <row r="368" spans="19:23" ht="15.75" customHeight="1" x14ac:dyDescent="0.45">
      <c r="S368" s="61"/>
      <c r="T368" s="61"/>
      <c r="U368" s="61"/>
      <c r="V368" s="61"/>
      <c r="W368" s="58"/>
    </row>
    <row r="369" spans="19:23" ht="15.75" customHeight="1" x14ac:dyDescent="0.45">
      <c r="S369" s="61"/>
      <c r="T369" s="61"/>
      <c r="U369" s="61"/>
      <c r="V369" s="61"/>
      <c r="W369" s="58"/>
    </row>
    <row r="370" spans="19:23" ht="15.75" customHeight="1" x14ac:dyDescent="0.45">
      <c r="S370" s="61"/>
      <c r="T370" s="61"/>
      <c r="U370" s="61"/>
      <c r="V370" s="61"/>
      <c r="W370" s="58"/>
    </row>
    <row r="371" spans="19:23" ht="15.75" customHeight="1" x14ac:dyDescent="0.45">
      <c r="S371" s="61"/>
      <c r="T371" s="61"/>
      <c r="U371" s="61"/>
      <c r="V371" s="61"/>
      <c r="W371" s="58"/>
    </row>
    <row r="372" spans="19:23" ht="15.75" customHeight="1" x14ac:dyDescent="0.45">
      <c r="S372" s="61"/>
      <c r="T372" s="61"/>
      <c r="U372" s="61"/>
      <c r="V372" s="61"/>
      <c r="W372" s="58"/>
    </row>
    <row r="373" spans="19:23" ht="15.75" customHeight="1" x14ac:dyDescent="0.45">
      <c r="S373" s="61"/>
      <c r="T373" s="61"/>
      <c r="U373" s="61"/>
      <c r="V373" s="61"/>
      <c r="W373" s="58"/>
    </row>
    <row r="374" spans="19:23" ht="15.75" customHeight="1" x14ac:dyDescent="0.45">
      <c r="S374" s="61"/>
      <c r="T374" s="61"/>
      <c r="U374" s="61"/>
      <c r="V374" s="61"/>
      <c r="W374" s="58"/>
    </row>
    <row r="375" spans="19:23" ht="15.75" customHeight="1" x14ac:dyDescent="0.45">
      <c r="S375" s="61"/>
      <c r="T375" s="61"/>
      <c r="U375" s="61"/>
      <c r="V375" s="61"/>
      <c r="W375" s="58"/>
    </row>
    <row r="376" spans="19:23" ht="15.75" customHeight="1" x14ac:dyDescent="0.45">
      <c r="S376" s="61"/>
      <c r="T376" s="61"/>
      <c r="U376" s="61"/>
      <c r="V376" s="61"/>
      <c r="W376" s="58"/>
    </row>
    <row r="377" spans="19:23" ht="15.75" customHeight="1" x14ac:dyDescent="0.45">
      <c r="S377" s="61"/>
      <c r="T377" s="61"/>
      <c r="U377" s="61"/>
      <c r="V377" s="61"/>
      <c r="W377" s="58"/>
    </row>
    <row r="378" spans="19:23" ht="15.75" customHeight="1" x14ac:dyDescent="0.45">
      <c r="S378" s="61"/>
      <c r="T378" s="61"/>
      <c r="U378" s="61"/>
      <c r="V378" s="61"/>
      <c r="W378" s="58"/>
    </row>
    <row r="379" spans="19:23" ht="15.75" customHeight="1" x14ac:dyDescent="0.45">
      <c r="S379" s="61"/>
      <c r="T379" s="61"/>
      <c r="U379" s="61"/>
      <c r="V379" s="61"/>
      <c r="W379" s="58"/>
    </row>
    <row r="380" spans="19:23" ht="15.75" customHeight="1" x14ac:dyDescent="0.45">
      <c r="S380" s="61"/>
      <c r="T380" s="61"/>
      <c r="U380" s="61"/>
      <c r="V380" s="61"/>
      <c r="W380" s="58"/>
    </row>
    <row r="381" spans="19:23" ht="15.75" customHeight="1" x14ac:dyDescent="0.45">
      <c r="S381" s="61"/>
      <c r="T381" s="61"/>
      <c r="U381" s="61"/>
      <c r="V381" s="61"/>
      <c r="W381" s="58"/>
    </row>
    <row r="382" spans="19:23" ht="15.75" customHeight="1" x14ac:dyDescent="0.45">
      <c r="S382" s="61"/>
      <c r="T382" s="61"/>
      <c r="U382" s="61"/>
      <c r="V382" s="61"/>
      <c r="W382" s="58"/>
    </row>
    <row r="383" spans="19:23" ht="15.75" customHeight="1" x14ac:dyDescent="0.45">
      <c r="S383" s="61"/>
      <c r="T383" s="61"/>
      <c r="U383" s="61"/>
      <c r="V383" s="61"/>
      <c r="W383" s="58"/>
    </row>
    <row r="384" spans="19:23" ht="15.75" customHeight="1" x14ac:dyDescent="0.45">
      <c r="S384" s="61"/>
      <c r="T384" s="61"/>
      <c r="U384" s="61"/>
      <c r="V384" s="61"/>
      <c r="W384" s="58"/>
    </row>
    <row r="385" spans="19:23" ht="15.75" customHeight="1" x14ac:dyDescent="0.45">
      <c r="S385" s="61"/>
      <c r="T385" s="61"/>
      <c r="U385" s="61"/>
      <c r="V385" s="61"/>
      <c r="W385" s="58"/>
    </row>
    <row r="386" spans="19:23" ht="15.75" customHeight="1" x14ac:dyDescent="0.45">
      <c r="S386" s="61"/>
      <c r="T386" s="61"/>
      <c r="U386" s="61"/>
      <c r="V386" s="61"/>
      <c r="W386" s="58"/>
    </row>
    <row r="387" spans="19:23" ht="15.75" customHeight="1" x14ac:dyDescent="0.45">
      <c r="S387" s="61"/>
      <c r="T387" s="61"/>
      <c r="U387" s="61"/>
      <c r="V387" s="61"/>
      <c r="W387" s="58"/>
    </row>
    <row r="388" spans="19:23" ht="15.75" customHeight="1" x14ac:dyDescent="0.45">
      <c r="S388" s="61"/>
      <c r="T388" s="61"/>
      <c r="U388" s="61"/>
      <c r="V388" s="61"/>
      <c r="W388" s="58"/>
    </row>
    <row r="389" spans="19:23" ht="15.75" customHeight="1" x14ac:dyDescent="0.45">
      <c r="S389" s="61"/>
      <c r="T389" s="61"/>
      <c r="U389" s="61"/>
      <c r="V389" s="61"/>
      <c r="W389" s="58"/>
    </row>
    <row r="390" spans="19:23" ht="15.75" customHeight="1" x14ac:dyDescent="0.45">
      <c r="S390" s="61"/>
      <c r="T390" s="61"/>
      <c r="U390" s="61"/>
      <c r="V390" s="61"/>
      <c r="W390" s="58"/>
    </row>
    <row r="391" spans="19:23" ht="15.75" customHeight="1" x14ac:dyDescent="0.45">
      <c r="S391" s="61"/>
      <c r="T391" s="61"/>
      <c r="U391" s="61"/>
      <c r="V391" s="61"/>
      <c r="W391" s="58"/>
    </row>
    <row r="392" spans="19:23" ht="15.75" customHeight="1" x14ac:dyDescent="0.45">
      <c r="S392" s="61"/>
      <c r="T392" s="61"/>
      <c r="U392" s="61"/>
      <c r="V392" s="61"/>
      <c r="W392" s="58"/>
    </row>
    <row r="393" spans="19:23" ht="15.75" customHeight="1" x14ac:dyDescent="0.45">
      <c r="S393" s="61"/>
      <c r="T393" s="61"/>
      <c r="U393" s="61"/>
      <c r="V393" s="61"/>
      <c r="W393" s="58"/>
    </row>
    <row r="394" spans="19:23" ht="15.75" customHeight="1" x14ac:dyDescent="0.45">
      <c r="S394" s="61"/>
      <c r="T394" s="61"/>
      <c r="U394" s="61"/>
      <c r="V394" s="61"/>
      <c r="W394" s="58"/>
    </row>
    <row r="395" spans="19:23" ht="15.75" customHeight="1" x14ac:dyDescent="0.45">
      <c r="S395" s="61"/>
      <c r="T395" s="61"/>
      <c r="U395" s="61"/>
      <c r="V395" s="61"/>
      <c r="W395" s="58"/>
    </row>
    <row r="396" spans="19:23" ht="15.75" customHeight="1" x14ac:dyDescent="0.45">
      <c r="S396" s="61"/>
      <c r="T396" s="61"/>
      <c r="U396" s="61"/>
      <c r="V396" s="61"/>
      <c r="W396" s="58"/>
    </row>
    <row r="397" spans="19:23" ht="15.75" customHeight="1" x14ac:dyDescent="0.45">
      <c r="S397" s="61"/>
      <c r="T397" s="61"/>
      <c r="U397" s="61"/>
      <c r="V397" s="61"/>
      <c r="W397" s="58"/>
    </row>
    <row r="398" spans="19:23" ht="15.75" customHeight="1" x14ac:dyDescent="0.45">
      <c r="S398" s="61"/>
      <c r="T398" s="61"/>
      <c r="U398" s="61"/>
      <c r="V398" s="61"/>
      <c r="W398" s="58"/>
    </row>
    <row r="399" spans="19:23" ht="15.75" customHeight="1" x14ac:dyDescent="0.45">
      <c r="S399" s="61"/>
      <c r="T399" s="61"/>
      <c r="U399" s="61"/>
      <c r="V399" s="61"/>
      <c r="W399" s="58"/>
    </row>
    <row r="400" spans="19:23" ht="15.75" customHeight="1" x14ac:dyDescent="0.45">
      <c r="S400" s="61"/>
      <c r="T400" s="61"/>
      <c r="U400" s="61"/>
      <c r="V400" s="61"/>
      <c r="W400" s="58"/>
    </row>
    <row r="401" spans="19:23" ht="15.75" customHeight="1" x14ac:dyDescent="0.45">
      <c r="S401" s="61"/>
      <c r="T401" s="61"/>
      <c r="U401" s="61"/>
      <c r="V401" s="61"/>
      <c r="W401" s="58"/>
    </row>
    <row r="402" spans="19:23" ht="15.75" customHeight="1" x14ac:dyDescent="0.45">
      <c r="S402" s="61"/>
      <c r="T402" s="61"/>
      <c r="U402" s="61"/>
      <c r="V402" s="61"/>
      <c r="W402" s="58"/>
    </row>
    <row r="403" spans="19:23" ht="15.75" customHeight="1" x14ac:dyDescent="0.45">
      <c r="S403" s="61"/>
      <c r="T403" s="61"/>
      <c r="U403" s="61"/>
      <c r="V403" s="61"/>
      <c r="W403" s="58"/>
    </row>
    <row r="404" spans="19:23" ht="15.75" customHeight="1" x14ac:dyDescent="0.45">
      <c r="S404" s="61"/>
      <c r="T404" s="61"/>
      <c r="U404" s="61"/>
      <c r="V404" s="61"/>
      <c r="W404" s="58"/>
    </row>
    <row r="405" spans="19:23" ht="15.75" customHeight="1" x14ac:dyDescent="0.45">
      <c r="S405" s="61"/>
      <c r="T405" s="61"/>
      <c r="U405" s="61"/>
      <c r="V405" s="61"/>
      <c r="W405" s="58"/>
    </row>
    <row r="406" spans="19:23" ht="15.75" customHeight="1" x14ac:dyDescent="0.45">
      <c r="S406" s="61"/>
      <c r="T406" s="61"/>
      <c r="U406" s="61"/>
      <c r="V406" s="61"/>
      <c r="W406" s="58"/>
    </row>
    <row r="407" spans="19:23" ht="15.75" customHeight="1" x14ac:dyDescent="0.45">
      <c r="S407" s="61"/>
      <c r="T407" s="61"/>
      <c r="U407" s="61"/>
      <c r="V407" s="61"/>
      <c r="W407" s="58"/>
    </row>
    <row r="408" spans="19:23" ht="15.75" customHeight="1" x14ac:dyDescent="0.45">
      <c r="S408" s="61"/>
      <c r="T408" s="61"/>
      <c r="U408" s="61"/>
      <c r="V408" s="61"/>
      <c r="W408" s="58"/>
    </row>
    <row r="409" spans="19:23" ht="15.75" customHeight="1" x14ac:dyDescent="0.45">
      <c r="S409" s="61"/>
      <c r="T409" s="61"/>
      <c r="U409" s="61"/>
      <c r="V409" s="61"/>
      <c r="W409" s="58"/>
    </row>
    <row r="410" spans="19:23" ht="15.75" customHeight="1" x14ac:dyDescent="0.45">
      <c r="S410" s="61"/>
      <c r="T410" s="61"/>
      <c r="U410" s="61"/>
      <c r="V410" s="61"/>
      <c r="W410" s="58"/>
    </row>
    <row r="411" spans="19:23" ht="15.75" customHeight="1" x14ac:dyDescent="0.45">
      <c r="S411" s="61"/>
      <c r="T411" s="61"/>
      <c r="U411" s="61"/>
      <c r="V411" s="61"/>
      <c r="W411" s="58"/>
    </row>
    <row r="412" spans="19:23" ht="15.75" customHeight="1" x14ac:dyDescent="0.45">
      <c r="S412" s="61"/>
      <c r="T412" s="61"/>
      <c r="U412" s="61"/>
      <c r="V412" s="61"/>
      <c r="W412" s="58"/>
    </row>
    <row r="413" spans="19:23" ht="15.75" customHeight="1" x14ac:dyDescent="0.45">
      <c r="S413" s="61"/>
      <c r="T413" s="61"/>
      <c r="U413" s="61"/>
      <c r="V413" s="61"/>
      <c r="W413" s="58"/>
    </row>
    <row r="414" spans="19:23" ht="15.75" customHeight="1" x14ac:dyDescent="0.45">
      <c r="S414" s="61"/>
      <c r="T414" s="61"/>
      <c r="U414" s="61"/>
      <c r="V414" s="61"/>
      <c r="W414" s="58"/>
    </row>
    <row r="415" spans="19:23" ht="15.75" customHeight="1" x14ac:dyDescent="0.45">
      <c r="S415" s="61"/>
      <c r="T415" s="61"/>
      <c r="U415" s="61"/>
      <c r="V415" s="61"/>
      <c r="W415" s="58"/>
    </row>
    <row r="416" spans="19:23" ht="15.75" customHeight="1" x14ac:dyDescent="0.45">
      <c r="S416" s="61"/>
      <c r="T416" s="61"/>
      <c r="U416" s="61"/>
      <c r="V416" s="61"/>
      <c r="W416" s="58"/>
    </row>
    <row r="417" spans="19:23" ht="15.75" customHeight="1" x14ac:dyDescent="0.45">
      <c r="S417" s="61"/>
      <c r="T417" s="61"/>
      <c r="U417" s="61"/>
      <c r="V417" s="61"/>
      <c r="W417" s="58"/>
    </row>
    <row r="418" spans="19:23" ht="15.75" customHeight="1" x14ac:dyDescent="0.45">
      <c r="S418" s="61"/>
      <c r="T418" s="61"/>
      <c r="U418" s="61"/>
      <c r="V418" s="61"/>
      <c r="W418" s="58"/>
    </row>
    <row r="419" spans="19:23" ht="15.75" customHeight="1" x14ac:dyDescent="0.45">
      <c r="S419" s="61"/>
      <c r="T419" s="61"/>
      <c r="U419" s="61"/>
      <c r="V419" s="61"/>
      <c r="W419" s="58"/>
    </row>
    <row r="420" spans="19:23" ht="15.75" customHeight="1" x14ac:dyDescent="0.45">
      <c r="S420" s="61"/>
      <c r="T420" s="61"/>
      <c r="U420" s="61"/>
      <c r="V420" s="61"/>
      <c r="W420" s="58"/>
    </row>
    <row r="421" spans="19:23" ht="15.75" customHeight="1" x14ac:dyDescent="0.45">
      <c r="S421" s="61"/>
      <c r="T421" s="61"/>
      <c r="U421" s="61"/>
      <c r="V421" s="61"/>
      <c r="W421" s="58"/>
    </row>
    <row r="422" spans="19:23" ht="15.75" customHeight="1" x14ac:dyDescent="0.45">
      <c r="S422" s="61"/>
      <c r="T422" s="61"/>
      <c r="U422" s="61"/>
      <c r="V422" s="61"/>
      <c r="W422" s="58"/>
    </row>
    <row r="423" spans="19:23" ht="15.75" customHeight="1" x14ac:dyDescent="0.45">
      <c r="S423" s="61"/>
      <c r="T423" s="61"/>
      <c r="U423" s="61"/>
      <c r="V423" s="61"/>
      <c r="W423" s="58"/>
    </row>
    <row r="424" spans="19:23" ht="15.75" customHeight="1" x14ac:dyDescent="0.45">
      <c r="S424" s="61"/>
      <c r="T424" s="61"/>
      <c r="U424" s="61"/>
      <c r="V424" s="61"/>
      <c r="W424" s="58"/>
    </row>
    <row r="425" spans="19:23" ht="15.75" customHeight="1" x14ac:dyDescent="0.45">
      <c r="S425" s="61"/>
      <c r="T425" s="61"/>
      <c r="U425" s="61"/>
      <c r="V425" s="61"/>
      <c r="W425" s="58"/>
    </row>
    <row r="426" spans="19:23" ht="15.75" customHeight="1" x14ac:dyDescent="0.45">
      <c r="S426" s="61"/>
      <c r="T426" s="61"/>
      <c r="U426" s="61"/>
      <c r="V426" s="61"/>
      <c r="W426" s="58"/>
    </row>
    <row r="427" spans="19:23" ht="15.75" customHeight="1" x14ac:dyDescent="0.45">
      <c r="S427" s="61"/>
      <c r="T427" s="61"/>
      <c r="U427" s="61"/>
      <c r="V427" s="61"/>
      <c r="W427" s="58"/>
    </row>
    <row r="428" spans="19:23" ht="15.75" customHeight="1" x14ac:dyDescent="0.45">
      <c r="S428" s="61"/>
      <c r="T428" s="61"/>
      <c r="U428" s="61"/>
      <c r="V428" s="61"/>
      <c r="W428" s="58"/>
    </row>
    <row r="429" spans="19:23" ht="15.75" customHeight="1" x14ac:dyDescent="0.45">
      <c r="S429" s="61"/>
      <c r="T429" s="61"/>
      <c r="U429" s="61"/>
      <c r="V429" s="61"/>
      <c r="W429" s="58"/>
    </row>
    <row r="430" spans="19:23" ht="15.75" customHeight="1" x14ac:dyDescent="0.45">
      <c r="S430" s="61"/>
      <c r="T430" s="61"/>
      <c r="U430" s="61"/>
      <c r="V430" s="61"/>
      <c r="W430" s="58"/>
    </row>
    <row r="431" spans="19:23" ht="15.75" customHeight="1" x14ac:dyDescent="0.45">
      <c r="S431" s="61"/>
      <c r="T431" s="61"/>
      <c r="U431" s="61"/>
      <c r="V431" s="61"/>
      <c r="W431" s="58"/>
    </row>
    <row r="432" spans="19:23" ht="15.75" customHeight="1" x14ac:dyDescent="0.45">
      <c r="S432" s="61"/>
      <c r="T432" s="61"/>
      <c r="U432" s="61"/>
      <c r="V432" s="61"/>
      <c r="W432" s="58"/>
    </row>
    <row r="433" spans="19:23" ht="15.75" customHeight="1" x14ac:dyDescent="0.45">
      <c r="S433" s="61"/>
      <c r="T433" s="61"/>
      <c r="U433" s="61"/>
      <c r="V433" s="61"/>
      <c r="W433" s="58"/>
    </row>
    <row r="434" spans="19:23" ht="15.75" customHeight="1" x14ac:dyDescent="0.45">
      <c r="S434" s="61"/>
      <c r="T434" s="61"/>
      <c r="U434" s="61"/>
      <c r="V434" s="61"/>
      <c r="W434" s="58"/>
    </row>
    <row r="435" spans="19:23" ht="15.75" customHeight="1" x14ac:dyDescent="0.45">
      <c r="S435" s="61"/>
      <c r="T435" s="61"/>
      <c r="U435" s="61"/>
      <c r="V435" s="61"/>
      <c r="W435" s="58"/>
    </row>
    <row r="436" spans="19:23" ht="15.75" customHeight="1" x14ac:dyDescent="0.45">
      <c r="S436" s="61"/>
      <c r="T436" s="61"/>
      <c r="U436" s="61"/>
      <c r="V436" s="61"/>
      <c r="W436" s="58"/>
    </row>
    <row r="437" spans="19:23" ht="15.75" customHeight="1" x14ac:dyDescent="0.45">
      <c r="S437" s="61"/>
      <c r="T437" s="61"/>
      <c r="U437" s="61"/>
      <c r="V437" s="61"/>
      <c r="W437" s="58"/>
    </row>
    <row r="438" spans="19:23" ht="15.75" customHeight="1" x14ac:dyDescent="0.45">
      <c r="S438" s="61"/>
      <c r="T438" s="61"/>
      <c r="U438" s="61"/>
      <c r="V438" s="61"/>
      <c r="W438" s="58"/>
    </row>
    <row r="439" spans="19:23" ht="15.75" customHeight="1" x14ac:dyDescent="0.45">
      <c r="S439" s="61"/>
      <c r="T439" s="61"/>
      <c r="U439" s="61"/>
      <c r="V439" s="61"/>
      <c r="W439" s="58"/>
    </row>
    <row r="440" spans="19:23" ht="15.75" customHeight="1" x14ac:dyDescent="0.45">
      <c r="S440" s="61"/>
      <c r="T440" s="61"/>
      <c r="U440" s="61"/>
      <c r="V440" s="61"/>
      <c r="W440" s="58"/>
    </row>
    <row r="441" spans="19:23" ht="15.75" customHeight="1" x14ac:dyDescent="0.45">
      <c r="S441" s="61"/>
      <c r="T441" s="61"/>
      <c r="U441" s="61"/>
      <c r="V441" s="61"/>
      <c r="W441" s="58"/>
    </row>
    <row r="442" spans="19:23" ht="15.75" customHeight="1" x14ac:dyDescent="0.45">
      <c r="S442" s="61"/>
      <c r="T442" s="61"/>
      <c r="U442" s="61"/>
      <c r="V442" s="61"/>
      <c r="W442" s="58"/>
    </row>
    <row r="443" spans="19:23" ht="15.75" customHeight="1" x14ac:dyDescent="0.45">
      <c r="S443" s="61"/>
      <c r="T443" s="61"/>
      <c r="U443" s="61"/>
      <c r="V443" s="61"/>
      <c r="W443" s="58"/>
    </row>
    <row r="444" spans="19:23" ht="15.75" customHeight="1" x14ac:dyDescent="0.45">
      <c r="S444" s="61"/>
      <c r="T444" s="61"/>
      <c r="U444" s="61"/>
      <c r="V444" s="61"/>
      <c r="W444" s="58"/>
    </row>
    <row r="445" spans="19:23" ht="15.75" customHeight="1" x14ac:dyDescent="0.45">
      <c r="S445" s="61"/>
      <c r="T445" s="61"/>
      <c r="U445" s="61"/>
      <c r="V445" s="61"/>
      <c r="W445" s="58"/>
    </row>
    <row r="446" spans="19:23" ht="15.75" customHeight="1" x14ac:dyDescent="0.45">
      <c r="S446" s="61"/>
      <c r="T446" s="61"/>
      <c r="U446" s="61"/>
      <c r="V446" s="61"/>
      <c r="W446" s="58"/>
    </row>
    <row r="447" spans="19:23" ht="15.75" customHeight="1" x14ac:dyDescent="0.45">
      <c r="S447" s="61"/>
      <c r="T447" s="61"/>
      <c r="U447" s="61"/>
      <c r="V447" s="61"/>
      <c r="W447" s="58"/>
    </row>
    <row r="448" spans="19:23" ht="15.75" customHeight="1" x14ac:dyDescent="0.45">
      <c r="S448" s="61"/>
      <c r="T448" s="61"/>
      <c r="U448" s="61"/>
      <c r="V448" s="61"/>
      <c r="W448" s="58"/>
    </row>
    <row r="449" spans="19:23" ht="15.75" customHeight="1" x14ac:dyDescent="0.45">
      <c r="S449" s="61"/>
      <c r="T449" s="61"/>
      <c r="U449" s="61"/>
      <c r="V449" s="61"/>
      <c r="W449" s="58"/>
    </row>
    <row r="450" spans="19:23" ht="15.75" customHeight="1" x14ac:dyDescent="0.45">
      <c r="S450" s="61"/>
      <c r="T450" s="61"/>
      <c r="U450" s="61"/>
      <c r="V450" s="61"/>
      <c r="W450" s="58"/>
    </row>
    <row r="451" spans="19:23" ht="15.75" customHeight="1" x14ac:dyDescent="0.45">
      <c r="S451" s="61"/>
      <c r="T451" s="61"/>
      <c r="U451" s="61"/>
      <c r="V451" s="61"/>
      <c r="W451" s="58"/>
    </row>
    <row r="452" spans="19:23" ht="15.75" customHeight="1" x14ac:dyDescent="0.45">
      <c r="S452" s="61"/>
      <c r="T452" s="61"/>
      <c r="U452" s="61"/>
      <c r="V452" s="61"/>
      <c r="W452" s="58"/>
    </row>
    <row r="453" spans="19:23" ht="15.75" customHeight="1" x14ac:dyDescent="0.45">
      <c r="S453" s="61"/>
      <c r="T453" s="61"/>
      <c r="U453" s="61"/>
      <c r="V453" s="61"/>
      <c r="W453" s="58"/>
    </row>
    <row r="454" spans="19:23" ht="15.75" customHeight="1" x14ac:dyDescent="0.45">
      <c r="S454" s="61"/>
      <c r="T454" s="61"/>
      <c r="U454" s="61"/>
      <c r="V454" s="61"/>
      <c r="W454" s="58"/>
    </row>
    <row r="455" spans="19:23" ht="15.75" customHeight="1" x14ac:dyDescent="0.45">
      <c r="S455" s="61"/>
      <c r="T455" s="61"/>
      <c r="U455" s="61"/>
      <c r="V455" s="61"/>
      <c r="W455" s="58"/>
    </row>
    <row r="456" spans="19:23" ht="15.75" customHeight="1" x14ac:dyDescent="0.45">
      <c r="S456" s="61"/>
      <c r="T456" s="61"/>
      <c r="U456" s="61"/>
      <c r="V456" s="61"/>
      <c r="W456" s="58"/>
    </row>
    <row r="457" spans="19:23" ht="15.75" customHeight="1" x14ac:dyDescent="0.45">
      <c r="S457" s="61"/>
      <c r="T457" s="61"/>
      <c r="U457" s="61"/>
      <c r="V457" s="61"/>
      <c r="W457" s="58"/>
    </row>
    <row r="458" spans="19:23" ht="15.75" customHeight="1" x14ac:dyDescent="0.45">
      <c r="S458" s="61"/>
      <c r="T458" s="61"/>
      <c r="U458" s="61"/>
      <c r="V458" s="61"/>
      <c r="W458" s="58"/>
    </row>
    <row r="459" spans="19:23" ht="15.75" customHeight="1" x14ac:dyDescent="0.45">
      <c r="S459" s="61"/>
      <c r="T459" s="61"/>
      <c r="U459" s="61"/>
      <c r="V459" s="61"/>
      <c r="W459" s="58"/>
    </row>
    <row r="460" spans="19:23" ht="15.75" customHeight="1" x14ac:dyDescent="0.45">
      <c r="S460" s="61"/>
      <c r="T460" s="61"/>
      <c r="U460" s="61"/>
      <c r="V460" s="61"/>
      <c r="W460" s="58"/>
    </row>
    <row r="461" spans="19:23" ht="15.75" customHeight="1" x14ac:dyDescent="0.45">
      <c r="S461" s="61"/>
      <c r="T461" s="61"/>
      <c r="U461" s="61"/>
      <c r="V461" s="61"/>
      <c r="W461" s="58"/>
    </row>
    <row r="462" spans="19:23" ht="15.75" customHeight="1" x14ac:dyDescent="0.45">
      <c r="S462" s="61"/>
      <c r="T462" s="61"/>
      <c r="U462" s="61"/>
      <c r="V462" s="61"/>
      <c r="W462" s="58"/>
    </row>
    <row r="463" spans="19:23" ht="15.75" customHeight="1" x14ac:dyDescent="0.45">
      <c r="S463" s="61"/>
      <c r="T463" s="61"/>
      <c r="U463" s="61"/>
      <c r="V463" s="61"/>
      <c r="W463" s="58"/>
    </row>
    <row r="464" spans="19:23" ht="15.75" customHeight="1" x14ac:dyDescent="0.45">
      <c r="S464" s="61"/>
      <c r="T464" s="61"/>
      <c r="U464" s="61"/>
      <c r="V464" s="61"/>
      <c r="W464" s="58"/>
    </row>
    <row r="465" spans="19:23" ht="15.75" customHeight="1" x14ac:dyDescent="0.45">
      <c r="S465" s="61"/>
      <c r="T465" s="61"/>
      <c r="U465" s="61"/>
      <c r="V465" s="61"/>
      <c r="W465" s="58"/>
    </row>
    <row r="466" spans="19:23" ht="15.75" customHeight="1" x14ac:dyDescent="0.45">
      <c r="S466" s="61"/>
      <c r="T466" s="61"/>
      <c r="U466" s="61"/>
      <c r="V466" s="61"/>
      <c r="W466" s="58"/>
    </row>
    <row r="467" spans="19:23" ht="15.75" customHeight="1" x14ac:dyDescent="0.45">
      <c r="S467" s="61"/>
      <c r="T467" s="61"/>
      <c r="U467" s="61"/>
      <c r="V467" s="61"/>
      <c r="W467" s="58"/>
    </row>
    <row r="468" spans="19:23" ht="15.75" customHeight="1" x14ac:dyDescent="0.45">
      <c r="S468" s="61"/>
      <c r="T468" s="61"/>
      <c r="U468" s="61"/>
      <c r="V468" s="61"/>
      <c r="W468" s="58"/>
    </row>
    <row r="469" spans="19:23" ht="15.75" customHeight="1" x14ac:dyDescent="0.45">
      <c r="S469" s="61"/>
      <c r="T469" s="61"/>
      <c r="U469" s="61"/>
      <c r="V469" s="61"/>
      <c r="W469" s="58"/>
    </row>
    <row r="470" spans="19:23" ht="15.75" customHeight="1" x14ac:dyDescent="0.45">
      <c r="S470" s="61"/>
      <c r="T470" s="61"/>
      <c r="U470" s="61"/>
      <c r="V470" s="61"/>
      <c r="W470" s="58"/>
    </row>
    <row r="471" spans="19:23" ht="15.75" customHeight="1" x14ac:dyDescent="0.45">
      <c r="S471" s="61"/>
      <c r="T471" s="61"/>
      <c r="U471" s="61"/>
      <c r="V471" s="61"/>
      <c r="W471" s="58"/>
    </row>
    <row r="472" spans="19:23" ht="15.75" customHeight="1" x14ac:dyDescent="0.45">
      <c r="S472" s="61"/>
      <c r="T472" s="61"/>
      <c r="U472" s="61"/>
      <c r="V472" s="61"/>
      <c r="W472" s="58"/>
    </row>
    <row r="473" spans="19:23" ht="15.75" customHeight="1" x14ac:dyDescent="0.45">
      <c r="S473" s="61"/>
      <c r="T473" s="61"/>
      <c r="U473" s="61"/>
      <c r="V473" s="61"/>
      <c r="W473" s="58"/>
    </row>
    <row r="474" spans="19:23" ht="15.75" customHeight="1" x14ac:dyDescent="0.45">
      <c r="S474" s="61"/>
      <c r="T474" s="61"/>
      <c r="U474" s="61"/>
      <c r="V474" s="61"/>
      <c r="W474" s="58"/>
    </row>
    <row r="475" spans="19:23" ht="15.75" customHeight="1" x14ac:dyDescent="0.45">
      <c r="S475" s="61"/>
      <c r="T475" s="61"/>
      <c r="U475" s="61"/>
      <c r="V475" s="61"/>
      <c r="W475" s="58"/>
    </row>
    <row r="476" spans="19:23" ht="15.75" customHeight="1" x14ac:dyDescent="0.45">
      <c r="S476" s="61"/>
      <c r="T476" s="61"/>
      <c r="U476" s="61"/>
      <c r="V476" s="61"/>
      <c r="W476" s="58"/>
    </row>
    <row r="477" spans="19:23" ht="15.75" customHeight="1" x14ac:dyDescent="0.45">
      <c r="S477" s="61"/>
      <c r="T477" s="61"/>
      <c r="U477" s="61"/>
      <c r="V477" s="61"/>
      <c r="W477" s="58"/>
    </row>
    <row r="478" spans="19:23" ht="15.75" customHeight="1" x14ac:dyDescent="0.45">
      <c r="S478" s="61"/>
      <c r="T478" s="61"/>
      <c r="U478" s="61"/>
      <c r="V478" s="61"/>
      <c r="W478" s="58"/>
    </row>
    <row r="479" spans="19:23" ht="15.75" customHeight="1" x14ac:dyDescent="0.45">
      <c r="S479" s="61"/>
      <c r="T479" s="61"/>
      <c r="U479" s="61"/>
      <c r="V479" s="61"/>
      <c r="W479" s="58"/>
    </row>
    <row r="480" spans="19:23" ht="15.75" customHeight="1" x14ac:dyDescent="0.45">
      <c r="S480" s="61"/>
      <c r="T480" s="61"/>
      <c r="U480" s="61"/>
      <c r="V480" s="61"/>
      <c r="W480" s="58"/>
    </row>
    <row r="481" spans="19:23" ht="15.75" customHeight="1" x14ac:dyDescent="0.45">
      <c r="S481" s="61"/>
      <c r="T481" s="61"/>
      <c r="U481" s="61"/>
      <c r="V481" s="61"/>
      <c r="W481" s="58"/>
    </row>
    <row r="482" spans="19:23" ht="15.75" customHeight="1" x14ac:dyDescent="0.45">
      <c r="S482" s="61"/>
      <c r="T482" s="61"/>
      <c r="U482" s="61"/>
      <c r="V482" s="61"/>
      <c r="W482" s="58"/>
    </row>
    <row r="483" spans="19:23" ht="15.75" customHeight="1" x14ac:dyDescent="0.45">
      <c r="S483" s="61"/>
      <c r="T483" s="61"/>
      <c r="U483" s="61"/>
      <c r="V483" s="61"/>
      <c r="W483" s="58"/>
    </row>
    <row r="484" spans="19:23" ht="15.75" customHeight="1" x14ac:dyDescent="0.45">
      <c r="S484" s="61"/>
      <c r="T484" s="61"/>
      <c r="U484" s="61"/>
      <c r="V484" s="61"/>
      <c r="W484" s="58"/>
    </row>
    <row r="485" spans="19:23" ht="15.75" customHeight="1" x14ac:dyDescent="0.45">
      <c r="S485" s="61"/>
      <c r="T485" s="61"/>
      <c r="U485" s="61"/>
      <c r="V485" s="61"/>
      <c r="W485" s="58"/>
    </row>
    <row r="486" spans="19:23" ht="15.75" customHeight="1" x14ac:dyDescent="0.45">
      <c r="S486" s="61"/>
      <c r="T486" s="61"/>
      <c r="U486" s="61"/>
      <c r="V486" s="61"/>
      <c r="W486" s="58"/>
    </row>
    <row r="487" spans="19:23" ht="15.75" customHeight="1" x14ac:dyDescent="0.45">
      <c r="S487" s="61"/>
      <c r="T487" s="61"/>
      <c r="U487" s="61"/>
      <c r="V487" s="61"/>
      <c r="W487" s="58"/>
    </row>
    <row r="488" spans="19:23" ht="15.75" customHeight="1" x14ac:dyDescent="0.45">
      <c r="S488" s="61"/>
      <c r="T488" s="61"/>
      <c r="U488" s="61"/>
      <c r="V488" s="61"/>
      <c r="W488" s="58"/>
    </row>
    <row r="489" spans="19:23" ht="15.75" customHeight="1" x14ac:dyDescent="0.45">
      <c r="S489" s="61"/>
      <c r="T489" s="61"/>
      <c r="U489" s="61"/>
      <c r="V489" s="61"/>
      <c r="W489" s="58"/>
    </row>
    <row r="490" spans="19:23" ht="15.75" customHeight="1" x14ac:dyDescent="0.45">
      <c r="S490" s="61"/>
      <c r="T490" s="61"/>
      <c r="U490" s="61"/>
      <c r="V490" s="61"/>
      <c r="W490" s="58"/>
    </row>
    <row r="491" spans="19:23" ht="15.75" customHeight="1" x14ac:dyDescent="0.45">
      <c r="S491" s="61"/>
      <c r="T491" s="61"/>
      <c r="U491" s="61"/>
      <c r="V491" s="61"/>
      <c r="W491" s="58"/>
    </row>
    <row r="492" spans="19:23" ht="15.75" customHeight="1" x14ac:dyDescent="0.45">
      <c r="S492" s="61"/>
      <c r="T492" s="61"/>
      <c r="U492" s="61"/>
      <c r="V492" s="61"/>
      <c r="W492" s="58"/>
    </row>
    <row r="493" spans="19:23" ht="15.75" customHeight="1" x14ac:dyDescent="0.45">
      <c r="S493" s="61"/>
      <c r="T493" s="61"/>
      <c r="U493" s="61"/>
      <c r="V493" s="61"/>
      <c r="W493" s="58"/>
    </row>
    <row r="494" spans="19:23" ht="15.75" customHeight="1" x14ac:dyDescent="0.45">
      <c r="S494" s="61"/>
      <c r="T494" s="61"/>
      <c r="U494" s="61"/>
      <c r="V494" s="61"/>
      <c r="W494" s="58"/>
    </row>
    <row r="495" spans="19:23" ht="15.75" customHeight="1" x14ac:dyDescent="0.45">
      <c r="S495" s="61"/>
      <c r="T495" s="61"/>
      <c r="U495" s="61"/>
      <c r="V495" s="61"/>
      <c r="W495" s="58"/>
    </row>
    <row r="496" spans="19:23" ht="15.75" customHeight="1" x14ac:dyDescent="0.45">
      <c r="S496" s="61"/>
      <c r="T496" s="61"/>
      <c r="U496" s="61"/>
      <c r="V496" s="61"/>
      <c r="W496" s="58"/>
    </row>
    <row r="497" spans="19:23" ht="15.75" customHeight="1" x14ac:dyDescent="0.45">
      <c r="S497" s="61"/>
      <c r="T497" s="61"/>
      <c r="U497" s="61"/>
      <c r="V497" s="61"/>
      <c r="W497" s="58"/>
    </row>
    <row r="498" spans="19:23" ht="15.75" customHeight="1" x14ac:dyDescent="0.45">
      <c r="S498" s="61"/>
      <c r="T498" s="61"/>
      <c r="U498" s="61"/>
      <c r="V498" s="61"/>
      <c r="W498" s="58"/>
    </row>
    <row r="499" spans="19:23" ht="15.75" customHeight="1" x14ac:dyDescent="0.45">
      <c r="S499" s="61"/>
      <c r="T499" s="61"/>
      <c r="U499" s="61"/>
      <c r="V499" s="61"/>
      <c r="W499" s="58"/>
    </row>
    <row r="500" spans="19:23" ht="15.75" customHeight="1" x14ac:dyDescent="0.45">
      <c r="S500" s="61"/>
      <c r="T500" s="61"/>
      <c r="U500" s="61"/>
      <c r="V500" s="61"/>
      <c r="W500" s="58"/>
    </row>
    <row r="501" spans="19:23" ht="15.75" customHeight="1" x14ac:dyDescent="0.45">
      <c r="S501" s="61"/>
      <c r="T501" s="61"/>
      <c r="U501" s="61"/>
      <c r="V501" s="61"/>
      <c r="W501" s="58"/>
    </row>
    <row r="502" spans="19:23" ht="15.75" customHeight="1" x14ac:dyDescent="0.45">
      <c r="S502" s="61"/>
      <c r="T502" s="61"/>
      <c r="U502" s="61"/>
      <c r="V502" s="61"/>
      <c r="W502" s="58"/>
    </row>
    <row r="503" spans="19:23" ht="15.75" customHeight="1" x14ac:dyDescent="0.45">
      <c r="S503" s="61"/>
      <c r="T503" s="61"/>
      <c r="U503" s="61"/>
      <c r="V503" s="61"/>
      <c r="W503" s="58"/>
    </row>
    <row r="504" spans="19:23" ht="15.75" customHeight="1" x14ac:dyDescent="0.45">
      <c r="S504" s="61"/>
      <c r="T504" s="61"/>
      <c r="U504" s="61"/>
      <c r="V504" s="61"/>
      <c r="W504" s="58"/>
    </row>
    <row r="505" spans="19:23" ht="15.75" customHeight="1" x14ac:dyDescent="0.45">
      <c r="S505" s="61"/>
      <c r="T505" s="61"/>
      <c r="U505" s="61"/>
      <c r="V505" s="61"/>
      <c r="W505" s="58"/>
    </row>
    <row r="506" spans="19:23" ht="15.75" customHeight="1" x14ac:dyDescent="0.45">
      <c r="S506" s="61"/>
      <c r="T506" s="61"/>
      <c r="U506" s="61"/>
      <c r="V506" s="61"/>
      <c r="W506" s="58"/>
    </row>
    <row r="507" spans="19:23" ht="15.75" customHeight="1" x14ac:dyDescent="0.45">
      <c r="S507" s="61"/>
      <c r="T507" s="61"/>
      <c r="U507" s="61"/>
      <c r="V507" s="61"/>
      <c r="W507" s="58"/>
    </row>
    <row r="508" spans="19:23" ht="15.75" customHeight="1" x14ac:dyDescent="0.45">
      <c r="S508" s="61"/>
      <c r="T508" s="61"/>
      <c r="U508" s="61"/>
      <c r="V508" s="61"/>
      <c r="W508" s="58"/>
    </row>
    <row r="509" spans="19:23" ht="15.75" customHeight="1" x14ac:dyDescent="0.45">
      <c r="S509" s="61"/>
      <c r="T509" s="61"/>
      <c r="U509" s="61"/>
      <c r="V509" s="61"/>
      <c r="W509" s="58"/>
    </row>
    <row r="510" spans="19:23" ht="15.75" customHeight="1" x14ac:dyDescent="0.45">
      <c r="S510" s="61"/>
      <c r="T510" s="61"/>
      <c r="U510" s="61"/>
      <c r="V510" s="61"/>
      <c r="W510" s="58"/>
    </row>
    <row r="511" spans="19:23" ht="15.75" customHeight="1" x14ac:dyDescent="0.45">
      <c r="S511" s="61"/>
      <c r="T511" s="61"/>
      <c r="U511" s="61"/>
      <c r="V511" s="61"/>
      <c r="W511" s="58"/>
    </row>
    <row r="512" spans="19:23" ht="15.75" customHeight="1" x14ac:dyDescent="0.45">
      <c r="S512" s="61"/>
      <c r="T512" s="61"/>
      <c r="U512" s="61"/>
      <c r="V512" s="61"/>
      <c r="W512" s="58"/>
    </row>
    <row r="513" spans="19:23" ht="15.75" customHeight="1" x14ac:dyDescent="0.45">
      <c r="S513" s="61"/>
      <c r="T513" s="61"/>
      <c r="U513" s="61"/>
      <c r="V513" s="61"/>
      <c r="W513" s="58"/>
    </row>
    <row r="514" spans="19:23" ht="15.75" customHeight="1" x14ac:dyDescent="0.45">
      <c r="S514" s="61"/>
      <c r="T514" s="61"/>
      <c r="U514" s="61"/>
      <c r="V514" s="61"/>
      <c r="W514" s="58"/>
    </row>
    <row r="515" spans="19:23" ht="15.75" customHeight="1" x14ac:dyDescent="0.45">
      <c r="S515" s="61"/>
      <c r="T515" s="61"/>
      <c r="U515" s="61"/>
      <c r="V515" s="61"/>
      <c r="W515" s="58"/>
    </row>
    <row r="516" spans="19:23" ht="15.75" customHeight="1" x14ac:dyDescent="0.45">
      <c r="S516" s="61"/>
      <c r="T516" s="61"/>
      <c r="U516" s="61"/>
      <c r="V516" s="61"/>
      <c r="W516" s="58"/>
    </row>
    <row r="517" spans="19:23" ht="15.75" customHeight="1" x14ac:dyDescent="0.45">
      <c r="S517" s="61"/>
      <c r="T517" s="61"/>
      <c r="U517" s="61"/>
      <c r="V517" s="61"/>
      <c r="W517" s="58"/>
    </row>
    <row r="518" spans="19:23" ht="15.75" customHeight="1" x14ac:dyDescent="0.45">
      <c r="S518" s="61"/>
      <c r="T518" s="61"/>
      <c r="U518" s="61"/>
      <c r="V518" s="61"/>
      <c r="W518" s="58"/>
    </row>
    <row r="519" spans="19:23" ht="15.75" customHeight="1" x14ac:dyDescent="0.45">
      <c r="S519" s="61"/>
      <c r="T519" s="61"/>
      <c r="U519" s="61"/>
      <c r="V519" s="61"/>
      <c r="W519" s="58"/>
    </row>
    <row r="520" spans="19:23" ht="15.75" customHeight="1" x14ac:dyDescent="0.45">
      <c r="S520" s="61"/>
      <c r="T520" s="61"/>
      <c r="U520" s="61"/>
      <c r="V520" s="61"/>
      <c r="W520" s="58"/>
    </row>
    <row r="521" spans="19:23" ht="15.75" customHeight="1" x14ac:dyDescent="0.45">
      <c r="S521" s="61"/>
      <c r="T521" s="61"/>
      <c r="U521" s="61"/>
      <c r="V521" s="61"/>
      <c r="W521" s="58"/>
    </row>
    <row r="522" spans="19:23" ht="15.75" customHeight="1" x14ac:dyDescent="0.45">
      <c r="S522" s="61"/>
      <c r="T522" s="61"/>
      <c r="U522" s="61"/>
      <c r="V522" s="61"/>
      <c r="W522" s="58"/>
    </row>
    <row r="523" spans="19:23" ht="15.75" customHeight="1" x14ac:dyDescent="0.45">
      <c r="S523" s="61"/>
      <c r="T523" s="61"/>
      <c r="U523" s="61"/>
      <c r="V523" s="61"/>
      <c r="W523" s="58"/>
    </row>
    <row r="524" spans="19:23" ht="15.75" customHeight="1" x14ac:dyDescent="0.45">
      <c r="S524" s="61"/>
      <c r="T524" s="61"/>
      <c r="U524" s="61"/>
      <c r="V524" s="61"/>
      <c r="W524" s="58"/>
    </row>
    <row r="525" spans="19:23" ht="15.75" customHeight="1" x14ac:dyDescent="0.45">
      <c r="S525" s="61"/>
      <c r="T525" s="61"/>
      <c r="U525" s="61"/>
      <c r="V525" s="61"/>
      <c r="W525" s="58"/>
    </row>
    <row r="526" spans="19:23" ht="15.75" customHeight="1" x14ac:dyDescent="0.45">
      <c r="S526" s="61"/>
      <c r="T526" s="61"/>
      <c r="U526" s="61"/>
      <c r="V526" s="61"/>
      <c r="W526" s="58"/>
    </row>
    <row r="527" spans="19:23" ht="15.75" customHeight="1" x14ac:dyDescent="0.45">
      <c r="S527" s="61"/>
      <c r="T527" s="61"/>
      <c r="U527" s="61"/>
      <c r="V527" s="61"/>
      <c r="W527" s="58"/>
    </row>
    <row r="528" spans="19:23" ht="15.75" customHeight="1" x14ac:dyDescent="0.45">
      <c r="S528" s="61"/>
      <c r="T528" s="61"/>
      <c r="U528" s="61"/>
      <c r="V528" s="61"/>
      <c r="W528" s="58"/>
    </row>
    <row r="529" spans="19:23" ht="15.75" customHeight="1" x14ac:dyDescent="0.45">
      <c r="S529" s="61"/>
      <c r="T529" s="61"/>
      <c r="U529" s="61"/>
      <c r="V529" s="61"/>
      <c r="W529" s="58"/>
    </row>
    <row r="530" spans="19:23" ht="15.75" customHeight="1" x14ac:dyDescent="0.45">
      <c r="S530" s="61"/>
      <c r="T530" s="61"/>
      <c r="U530" s="61"/>
      <c r="V530" s="61"/>
      <c r="W530" s="58"/>
    </row>
    <row r="531" spans="19:23" ht="15.75" customHeight="1" x14ac:dyDescent="0.45">
      <c r="S531" s="61"/>
      <c r="T531" s="61"/>
      <c r="U531" s="61"/>
      <c r="V531" s="61"/>
      <c r="W531" s="58"/>
    </row>
    <row r="532" spans="19:23" ht="15.75" customHeight="1" x14ac:dyDescent="0.45">
      <c r="S532" s="61"/>
      <c r="T532" s="61"/>
      <c r="U532" s="61"/>
      <c r="V532" s="61"/>
      <c r="W532" s="58"/>
    </row>
    <row r="533" spans="19:23" ht="15.75" customHeight="1" x14ac:dyDescent="0.45">
      <c r="S533" s="61"/>
      <c r="T533" s="61"/>
      <c r="U533" s="61"/>
      <c r="V533" s="61"/>
      <c r="W533" s="58"/>
    </row>
    <row r="534" spans="19:23" ht="15.75" customHeight="1" x14ac:dyDescent="0.45">
      <c r="S534" s="61"/>
      <c r="T534" s="61"/>
      <c r="U534" s="61"/>
      <c r="V534" s="61"/>
      <c r="W534" s="58"/>
    </row>
    <row r="535" spans="19:23" ht="15.75" customHeight="1" x14ac:dyDescent="0.45">
      <c r="S535" s="61"/>
      <c r="T535" s="61"/>
      <c r="U535" s="61"/>
      <c r="V535" s="61"/>
      <c r="W535" s="58"/>
    </row>
    <row r="536" spans="19:23" ht="15.75" customHeight="1" x14ac:dyDescent="0.45">
      <c r="S536" s="61"/>
      <c r="T536" s="61"/>
      <c r="U536" s="61"/>
      <c r="V536" s="61"/>
      <c r="W536" s="58"/>
    </row>
    <row r="537" spans="19:23" ht="15.75" customHeight="1" x14ac:dyDescent="0.45">
      <c r="S537" s="61"/>
      <c r="T537" s="61"/>
      <c r="U537" s="61"/>
      <c r="V537" s="61"/>
      <c r="W537" s="58"/>
    </row>
    <row r="538" spans="19:23" ht="15.75" customHeight="1" x14ac:dyDescent="0.45">
      <c r="S538" s="61"/>
      <c r="T538" s="61"/>
      <c r="U538" s="61"/>
      <c r="V538" s="61"/>
      <c r="W538" s="58"/>
    </row>
    <row r="539" spans="19:23" ht="15.75" customHeight="1" x14ac:dyDescent="0.45">
      <c r="S539" s="61"/>
      <c r="T539" s="61"/>
      <c r="U539" s="61"/>
      <c r="V539" s="61"/>
      <c r="W539" s="58"/>
    </row>
    <row r="540" spans="19:23" ht="15.75" customHeight="1" x14ac:dyDescent="0.45">
      <c r="S540" s="61"/>
      <c r="T540" s="61"/>
      <c r="U540" s="61"/>
      <c r="V540" s="61"/>
      <c r="W540" s="58"/>
    </row>
    <row r="541" spans="19:23" ht="15.75" customHeight="1" x14ac:dyDescent="0.45">
      <c r="S541" s="61"/>
      <c r="T541" s="61"/>
      <c r="U541" s="61"/>
      <c r="V541" s="61"/>
      <c r="W541" s="58"/>
    </row>
    <row r="542" spans="19:23" ht="15.75" customHeight="1" x14ac:dyDescent="0.45">
      <c r="S542" s="61"/>
      <c r="T542" s="61"/>
      <c r="U542" s="61"/>
      <c r="V542" s="61"/>
      <c r="W542" s="58"/>
    </row>
    <row r="543" spans="19:23" ht="15.75" customHeight="1" x14ac:dyDescent="0.45">
      <c r="S543" s="61"/>
      <c r="T543" s="61"/>
      <c r="U543" s="61"/>
      <c r="V543" s="61"/>
      <c r="W543" s="58"/>
    </row>
    <row r="544" spans="19:23" ht="15.75" customHeight="1" x14ac:dyDescent="0.45">
      <c r="S544" s="61"/>
      <c r="T544" s="61"/>
      <c r="U544" s="61"/>
      <c r="V544" s="61"/>
      <c r="W544" s="58"/>
    </row>
    <row r="545" spans="19:23" ht="15.75" customHeight="1" x14ac:dyDescent="0.45">
      <c r="S545" s="61"/>
      <c r="T545" s="61"/>
      <c r="U545" s="61"/>
      <c r="V545" s="61"/>
      <c r="W545" s="58"/>
    </row>
    <row r="546" spans="19:23" ht="15.75" customHeight="1" x14ac:dyDescent="0.45">
      <c r="S546" s="61"/>
      <c r="T546" s="61"/>
      <c r="U546" s="61"/>
      <c r="V546" s="61"/>
      <c r="W546" s="58"/>
    </row>
    <row r="547" spans="19:23" ht="15.75" customHeight="1" x14ac:dyDescent="0.45">
      <c r="S547" s="61"/>
      <c r="T547" s="61"/>
      <c r="U547" s="61"/>
      <c r="V547" s="61"/>
      <c r="W547" s="58"/>
    </row>
    <row r="548" spans="19:23" ht="15.75" customHeight="1" x14ac:dyDescent="0.45">
      <c r="S548" s="61"/>
      <c r="T548" s="61"/>
      <c r="U548" s="61"/>
      <c r="V548" s="61"/>
      <c r="W548" s="58"/>
    </row>
    <row r="549" spans="19:23" ht="15.75" customHeight="1" x14ac:dyDescent="0.45">
      <c r="S549" s="61"/>
      <c r="T549" s="61"/>
      <c r="U549" s="61"/>
      <c r="V549" s="61"/>
      <c r="W549" s="58"/>
    </row>
    <row r="550" spans="19:23" ht="15.75" customHeight="1" x14ac:dyDescent="0.45">
      <c r="S550" s="61"/>
      <c r="T550" s="61"/>
      <c r="U550" s="61"/>
      <c r="V550" s="61"/>
      <c r="W550" s="58"/>
    </row>
    <row r="551" spans="19:23" ht="15.75" customHeight="1" x14ac:dyDescent="0.45">
      <c r="S551" s="61"/>
      <c r="T551" s="61"/>
      <c r="U551" s="61"/>
      <c r="V551" s="61"/>
      <c r="W551" s="58"/>
    </row>
    <row r="552" spans="19:23" ht="15.75" customHeight="1" x14ac:dyDescent="0.45">
      <c r="S552" s="61"/>
      <c r="T552" s="61"/>
      <c r="U552" s="61"/>
      <c r="V552" s="61"/>
      <c r="W552" s="58"/>
    </row>
    <row r="553" spans="19:23" ht="15.75" customHeight="1" x14ac:dyDescent="0.45">
      <c r="S553" s="61"/>
      <c r="T553" s="61"/>
      <c r="U553" s="61"/>
      <c r="V553" s="61"/>
      <c r="W553" s="58"/>
    </row>
    <row r="554" spans="19:23" ht="15.75" customHeight="1" x14ac:dyDescent="0.45">
      <c r="S554" s="61"/>
      <c r="T554" s="61"/>
      <c r="U554" s="61"/>
      <c r="V554" s="61"/>
      <c r="W554" s="58"/>
    </row>
    <row r="555" spans="19:23" ht="15.75" customHeight="1" x14ac:dyDescent="0.45">
      <c r="S555" s="61"/>
      <c r="T555" s="61"/>
      <c r="U555" s="61"/>
      <c r="V555" s="61"/>
      <c r="W555" s="58"/>
    </row>
    <row r="556" spans="19:23" ht="15.75" customHeight="1" x14ac:dyDescent="0.45">
      <c r="S556" s="61"/>
      <c r="T556" s="61"/>
      <c r="U556" s="61"/>
      <c r="V556" s="61"/>
      <c r="W556" s="58"/>
    </row>
    <row r="557" spans="19:23" ht="15.75" customHeight="1" x14ac:dyDescent="0.45">
      <c r="S557" s="61"/>
      <c r="T557" s="61"/>
      <c r="U557" s="61"/>
      <c r="V557" s="61"/>
      <c r="W557" s="58"/>
    </row>
    <row r="558" spans="19:23" ht="15.75" customHeight="1" x14ac:dyDescent="0.45">
      <c r="S558" s="61"/>
      <c r="T558" s="61"/>
      <c r="U558" s="61"/>
      <c r="V558" s="61"/>
      <c r="W558" s="58"/>
    </row>
    <row r="559" spans="19:23" ht="15.75" customHeight="1" x14ac:dyDescent="0.45">
      <c r="S559" s="61"/>
      <c r="T559" s="61"/>
      <c r="U559" s="61"/>
      <c r="V559" s="61"/>
      <c r="W559" s="58"/>
    </row>
    <row r="560" spans="19:23" ht="15.75" customHeight="1" x14ac:dyDescent="0.45">
      <c r="S560" s="61"/>
      <c r="T560" s="61"/>
      <c r="U560" s="61"/>
      <c r="V560" s="61"/>
      <c r="W560" s="58"/>
    </row>
    <row r="561" spans="19:23" ht="15.75" customHeight="1" x14ac:dyDescent="0.45">
      <c r="S561" s="61"/>
      <c r="T561" s="61"/>
      <c r="U561" s="61"/>
      <c r="V561" s="61"/>
      <c r="W561" s="58"/>
    </row>
    <row r="562" spans="19:23" ht="15.75" customHeight="1" x14ac:dyDescent="0.45">
      <c r="S562" s="61"/>
      <c r="T562" s="61"/>
      <c r="U562" s="61"/>
      <c r="V562" s="61"/>
      <c r="W562" s="58"/>
    </row>
    <row r="563" spans="19:23" ht="15.75" customHeight="1" x14ac:dyDescent="0.45">
      <c r="S563" s="61"/>
      <c r="T563" s="61"/>
      <c r="U563" s="61"/>
      <c r="V563" s="61"/>
      <c r="W563" s="58"/>
    </row>
    <row r="564" spans="19:23" ht="15.75" customHeight="1" x14ac:dyDescent="0.45">
      <c r="S564" s="61"/>
      <c r="T564" s="61"/>
      <c r="U564" s="61"/>
      <c r="V564" s="61"/>
      <c r="W564" s="58"/>
    </row>
    <row r="565" spans="19:23" ht="15.75" customHeight="1" x14ac:dyDescent="0.45">
      <c r="S565" s="61"/>
      <c r="T565" s="61"/>
      <c r="U565" s="61"/>
      <c r="V565" s="61"/>
      <c r="W565" s="58"/>
    </row>
    <row r="566" spans="19:23" ht="15.75" customHeight="1" x14ac:dyDescent="0.45">
      <c r="S566" s="61"/>
      <c r="T566" s="61"/>
      <c r="U566" s="61"/>
      <c r="V566" s="61"/>
      <c r="W566" s="58"/>
    </row>
    <row r="567" spans="19:23" ht="15.75" customHeight="1" x14ac:dyDescent="0.45">
      <c r="S567" s="61"/>
      <c r="T567" s="61"/>
      <c r="U567" s="61"/>
      <c r="V567" s="61"/>
      <c r="W567" s="58"/>
    </row>
    <row r="568" spans="19:23" ht="15.75" customHeight="1" x14ac:dyDescent="0.45">
      <c r="S568" s="61"/>
      <c r="T568" s="61"/>
      <c r="U568" s="61"/>
      <c r="V568" s="61"/>
      <c r="W568" s="58"/>
    </row>
    <row r="569" spans="19:23" ht="15.75" customHeight="1" x14ac:dyDescent="0.45">
      <c r="S569" s="61"/>
      <c r="T569" s="61"/>
      <c r="U569" s="61"/>
      <c r="V569" s="61"/>
      <c r="W569" s="58"/>
    </row>
    <row r="570" spans="19:23" ht="15.75" customHeight="1" x14ac:dyDescent="0.45">
      <c r="S570" s="61"/>
      <c r="T570" s="61"/>
      <c r="U570" s="61"/>
      <c r="V570" s="61"/>
      <c r="W570" s="58"/>
    </row>
    <row r="571" spans="19:23" ht="15.75" customHeight="1" x14ac:dyDescent="0.45">
      <c r="S571" s="61"/>
      <c r="T571" s="61"/>
      <c r="U571" s="61"/>
      <c r="V571" s="61"/>
      <c r="W571" s="58"/>
    </row>
    <row r="572" spans="19:23" ht="15.75" customHeight="1" x14ac:dyDescent="0.45">
      <c r="S572" s="61"/>
      <c r="T572" s="61"/>
      <c r="U572" s="61"/>
      <c r="V572" s="61"/>
      <c r="W572" s="58"/>
    </row>
    <row r="573" spans="19:23" ht="15.75" customHeight="1" x14ac:dyDescent="0.45">
      <c r="S573" s="61"/>
      <c r="T573" s="61"/>
      <c r="U573" s="61"/>
      <c r="V573" s="61"/>
      <c r="W573" s="58"/>
    </row>
    <row r="574" spans="19:23" ht="15.75" customHeight="1" x14ac:dyDescent="0.45">
      <c r="S574" s="61"/>
      <c r="T574" s="61"/>
      <c r="U574" s="61"/>
      <c r="V574" s="61"/>
      <c r="W574" s="58"/>
    </row>
    <row r="575" spans="19:23" ht="15.75" customHeight="1" x14ac:dyDescent="0.45">
      <c r="S575" s="61"/>
      <c r="T575" s="61"/>
      <c r="U575" s="61"/>
      <c r="V575" s="61"/>
      <c r="W575" s="58"/>
    </row>
    <row r="576" spans="19:23" ht="15.75" customHeight="1" x14ac:dyDescent="0.45">
      <c r="S576" s="61"/>
      <c r="T576" s="61"/>
      <c r="U576" s="61"/>
      <c r="V576" s="61"/>
      <c r="W576" s="58"/>
    </row>
    <row r="577" spans="19:23" ht="15.75" customHeight="1" x14ac:dyDescent="0.45">
      <c r="S577" s="61"/>
      <c r="T577" s="61"/>
      <c r="U577" s="61"/>
      <c r="V577" s="61"/>
      <c r="W577" s="58"/>
    </row>
    <row r="578" spans="19:23" ht="15.75" customHeight="1" x14ac:dyDescent="0.45">
      <c r="S578" s="61"/>
      <c r="T578" s="61"/>
      <c r="U578" s="61"/>
      <c r="V578" s="61"/>
      <c r="W578" s="58"/>
    </row>
    <row r="579" spans="19:23" ht="15.75" customHeight="1" x14ac:dyDescent="0.45">
      <c r="S579" s="61"/>
      <c r="T579" s="61"/>
      <c r="U579" s="61"/>
      <c r="V579" s="61"/>
      <c r="W579" s="58"/>
    </row>
    <row r="580" spans="19:23" ht="15.75" customHeight="1" x14ac:dyDescent="0.45">
      <c r="S580" s="61"/>
      <c r="T580" s="61"/>
      <c r="U580" s="61"/>
      <c r="V580" s="61"/>
      <c r="W580" s="58"/>
    </row>
    <row r="581" spans="19:23" ht="15.75" customHeight="1" x14ac:dyDescent="0.45">
      <c r="S581" s="61"/>
      <c r="T581" s="61"/>
      <c r="U581" s="61"/>
      <c r="V581" s="61"/>
      <c r="W581" s="58"/>
    </row>
    <row r="582" spans="19:23" ht="15.75" customHeight="1" x14ac:dyDescent="0.45">
      <c r="S582" s="61"/>
      <c r="T582" s="61"/>
      <c r="U582" s="61"/>
      <c r="V582" s="61"/>
      <c r="W582" s="58"/>
    </row>
    <row r="583" spans="19:23" ht="15.75" customHeight="1" x14ac:dyDescent="0.45">
      <c r="S583" s="61"/>
      <c r="T583" s="61"/>
      <c r="U583" s="61"/>
      <c r="V583" s="61"/>
      <c r="W583" s="58"/>
    </row>
    <row r="584" spans="19:23" ht="15.75" customHeight="1" x14ac:dyDescent="0.45">
      <c r="S584" s="61"/>
      <c r="T584" s="61"/>
      <c r="U584" s="61"/>
      <c r="V584" s="61"/>
      <c r="W584" s="58"/>
    </row>
    <row r="585" spans="19:23" ht="15.75" customHeight="1" x14ac:dyDescent="0.45">
      <c r="S585" s="61"/>
      <c r="T585" s="61"/>
      <c r="U585" s="61"/>
      <c r="V585" s="61"/>
      <c r="W585" s="58"/>
    </row>
    <row r="586" spans="19:23" ht="15.75" customHeight="1" x14ac:dyDescent="0.45">
      <c r="S586" s="61"/>
      <c r="T586" s="61"/>
      <c r="U586" s="61"/>
      <c r="V586" s="61"/>
      <c r="W586" s="58"/>
    </row>
    <row r="587" spans="19:23" ht="15.75" customHeight="1" x14ac:dyDescent="0.45">
      <c r="S587" s="61"/>
      <c r="T587" s="61"/>
      <c r="U587" s="61"/>
      <c r="V587" s="61"/>
      <c r="W587" s="58"/>
    </row>
    <row r="588" spans="19:23" ht="15.75" customHeight="1" x14ac:dyDescent="0.45">
      <c r="S588" s="61"/>
      <c r="T588" s="61"/>
      <c r="U588" s="61"/>
      <c r="V588" s="61"/>
      <c r="W588" s="58"/>
    </row>
    <row r="589" spans="19:23" ht="15.75" customHeight="1" x14ac:dyDescent="0.45">
      <c r="S589" s="61"/>
      <c r="T589" s="61"/>
      <c r="U589" s="61"/>
      <c r="V589" s="61"/>
      <c r="W589" s="58"/>
    </row>
    <row r="590" spans="19:23" ht="15.75" customHeight="1" x14ac:dyDescent="0.45">
      <c r="S590" s="61"/>
      <c r="T590" s="61"/>
      <c r="U590" s="61"/>
      <c r="V590" s="61"/>
      <c r="W590" s="58"/>
    </row>
    <row r="591" spans="19:23" ht="15.75" customHeight="1" x14ac:dyDescent="0.45">
      <c r="S591" s="61"/>
      <c r="T591" s="61"/>
      <c r="U591" s="61"/>
      <c r="V591" s="61"/>
      <c r="W591" s="58"/>
    </row>
    <row r="592" spans="19:23" ht="15.75" customHeight="1" x14ac:dyDescent="0.45">
      <c r="S592" s="61"/>
      <c r="T592" s="61"/>
      <c r="U592" s="61"/>
      <c r="V592" s="61"/>
      <c r="W592" s="58"/>
    </row>
    <row r="593" spans="19:23" ht="15.75" customHeight="1" x14ac:dyDescent="0.45">
      <c r="S593" s="61"/>
      <c r="T593" s="61"/>
      <c r="U593" s="61"/>
      <c r="V593" s="61"/>
      <c r="W593" s="58"/>
    </row>
    <row r="594" spans="19:23" ht="15.75" customHeight="1" x14ac:dyDescent="0.45">
      <c r="S594" s="61"/>
      <c r="T594" s="61"/>
      <c r="U594" s="61"/>
      <c r="V594" s="61"/>
      <c r="W594" s="58"/>
    </row>
    <row r="595" spans="19:23" ht="15.75" customHeight="1" x14ac:dyDescent="0.45">
      <c r="S595" s="61"/>
      <c r="T595" s="61"/>
      <c r="U595" s="61"/>
      <c r="V595" s="61"/>
      <c r="W595" s="58"/>
    </row>
    <row r="596" spans="19:23" ht="15.75" customHeight="1" x14ac:dyDescent="0.45">
      <c r="S596" s="61"/>
      <c r="T596" s="61"/>
      <c r="U596" s="61"/>
      <c r="V596" s="61"/>
      <c r="W596" s="58"/>
    </row>
    <row r="597" spans="19:23" ht="15.75" customHeight="1" x14ac:dyDescent="0.45">
      <c r="S597" s="61"/>
      <c r="T597" s="61"/>
      <c r="U597" s="61"/>
      <c r="V597" s="61"/>
      <c r="W597" s="58"/>
    </row>
    <row r="598" spans="19:23" ht="15.75" customHeight="1" x14ac:dyDescent="0.45">
      <c r="S598" s="61"/>
      <c r="T598" s="61"/>
      <c r="U598" s="61"/>
      <c r="V598" s="61"/>
      <c r="W598" s="58"/>
    </row>
    <row r="599" spans="19:23" ht="15.75" customHeight="1" x14ac:dyDescent="0.45">
      <c r="S599" s="61"/>
      <c r="T599" s="61"/>
      <c r="U599" s="61"/>
      <c r="V599" s="61"/>
      <c r="W599" s="58"/>
    </row>
    <row r="600" spans="19:23" ht="15.75" customHeight="1" x14ac:dyDescent="0.45">
      <c r="S600" s="61"/>
      <c r="T600" s="61"/>
      <c r="U600" s="61"/>
      <c r="V600" s="61"/>
      <c r="W600" s="58"/>
    </row>
    <row r="601" spans="19:23" ht="15.75" customHeight="1" x14ac:dyDescent="0.45">
      <c r="S601" s="61"/>
      <c r="T601" s="61"/>
      <c r="U601" s="61"/>
      <c r="V601" s="61"/>
      <c r="W601" s="58"/>
    </row>
    <row r="602" spans="19:23" ht="15.75" customHeight="1" x14ac:dyDescent="0.45">
      <c r="S602" s="61"/>
      <c r="T602" s="61"/>
      <c r="U602" s="61"/>
      <c r="V602" s="61"/>
      <c r="W602" s="58"/>
    </row>
    <row r="603" spans="19:23" ht="15.75" customHeight="1" x14ac:dyDescent="0.45">
      <c r="S603" s="61"/>
      <c r="T603" s="61"/>
      <c r="U603" s="61"/>
      <c r="V603" s="61"/>
      <c r="W603" s="58"/>
    </row>
    <row r="604" spans="19:23" ht="15.75" customHeight="1" x14ac:dyDescent="0.45">
      <c r="S604" s="61"/>
      <c r="T604" s="61"/>
      <c r="U604" s="61"/>
      <c r="V604" s="61"/>
      <c r="W604" s="58"/>
    </row>
    <row r="605" spans="19:23" ht="15.75" customHeight="1" x14ac:dyDescent="0.45">
      <c r="S605" s="61"/>
      <c r="T605" s="61"/>
      <c r="U605" s="61"/>
      <c r="V605" s="61"/>
      <c r="W605" s="58"/>
    </row>
    <row r="606" spans="19:23" ht="15.75" customHeight="1" x14ac:dyDescent="0.45">
      <c r="S606" s="61"/>
      <c r="T606" s="61"/>
      <c r="U606" s="61"/>
      <c r="V606" s="61"/>
      <c r="W606" s="58"/>
    </row>
    <row r="607" spans="19:23" ht="15.75" customHeight="1" x14ac:dyDescent="0.45">
      <c r="S607" s="61"/>
      <c r="T607" s="61"/>
      <c r="U607" s="61"/>
      <c r="V607" s="61"/>
      <c r="W607" s="58"/>
    </row>
    <row r="608" spans="19:23" ht="15.75" customHeight="1" x14ac:dyDescent="0.45">
      <c r="S608" s="61"/>
      <c r="T608" s="61"/>
      <c r="U608" s="61"/>
      <c r="V608" s="61"/>
      <c r="W608" s="58"/>
    </row>
    <row r="609" spans="19:23" ht="15.75" customHeight="1" x14ac:dyDescent="0.45">
      <c r="S609" s="61"/>
      <c r="T609" s="61"/>
      <c r="U609" s="61"/>
      <c r="V609" s="61"/>
      <c r="W609" s="58"/>
    </row>
    <row r="610" spans="19:23" ht="15.75" customHeight="1" x14ac:dyDescent="0.45">
      <c r="S610" s="61"/>
      <c r="T610" s="61"/>
      <c r="U610" s="61"/>
      <c r="V610" s="61"/>
      <c r="W610" s="58"/>
    </row>
    <row r="611" spans="19:23" ht="15.75" customHeight="1" x14ac:dyDescent="0.45">
      <c r="S611" s="61"/>
      <c r="T611" s="61"/>
      <c r="U611" s="61"/>
      <c r="V611" s="61"/>
      <c r="W611" s="58"/>
    </row>
    <row r="612" spans="19:23" ht="15.75" customHeight="1" x14ac:dyDescent="0.45">
      <c r="S612" s="61"/>
      <c r="T612" s="61"/>
      <c r="U612" s="61"/>
      <c r="V612" s="61"/>
      <c r="W612" s="58"/>
    </row>
    <row r="613" spans="19:23" ht="15.75" customHeight="1" x14ac:dyDescent="0.45">
      <c r="S613" s="61"/>
      <c r="T613" s="61"/>
      <c r="U613" s="61"/>
      <c r="V613" s="61"/>
      <c r="W613" s="58"/>
    </row>
    <row r="614" spans="19:23" ht="15.75" customHeight="1" x14ac:dyDescent="0.45">
      <c r="S614" s="61"/>
      <c r="T614" s="61"/>
      <c r="U614" s="61"/>
      <c r="V614" s="61"/>
      <c r="W614" s="58"/>
    </row>
    <row r="615" spans="19:23" ht="15.75" customHeight="1" x14ac:dyDescent="0.45">
      <c r="S615" s="61"/>
      <c r="T615" s="61"/>
      <c r="U615" s="61"/>
      <c r="V615" s="61"/>
      <c r="W615" s="58"/>
    </row>
    <row r="616" spans="19:23" ht="15.75" customHeight="1" x14ac:dyDescent="0.45">
      <c r="S616" s="61"/>
      <c r="T616" s="61"/>
      <c r="U616" s="61"/>
      <c r="V616" s="61"/>
      <c r="W616" s="58"/>
    </row>
    <row r="617" spans="19:23" ht="15.75" customHeight="1" x14ac:dyDescent="0.45">
      <c r="S617" s="61"/>
      <c r="T617" s="61"/>
      <c r="U617" s="61"/>
      <c r="V617" s="61"/>
      <c r="W617" s="58"/>
    </row>
    <row r="618" spans="19:23" ht="15.75" customHeight="1" x14ac:dyDescent="0.45">
      <c r="S618" s="61"/>
      <c r="T618" s="61"/>
      <c r="U618" s="61"/>
      <c r="V618" s="61"/>
      <c r="W618" s="58"/>
    </row>
    <row r="619" spans="19:23" ht="15.75" customHeight="1" x14ac:dyDescent="0.45">
      <c r="S619" s="61"/>
      <c r="T619" s="61"/>
      <c r="U619" s="61"/>
      <c r="V619" s="61"/>
      <c r="W619" s="58"/>
    </row>
    <row r="620" spans="19:23" ht="15.75" customHeight="1" x14ac:dyDescent="0.45">
      <c r="S620" s="61"/>
      <c r="T620" s="61"/>
      <c r="U620" s="61"/>
      <c r="V620" s="61"/>
      <c r="W620" s="58"/>
    </row>
    <row r="621" spans="19:23" ht="15.75" customHeight="1" x14ac:dyDescent="0.45">
      <c r="S621" s="61"/>
      <c r="T621" s="61"/>
      <c r="U621" s="61"/>
      <c r="V621" s="61"/>
      <c r="W621" s="58"/>
    </row>
    <row r="622" spans="19:23" ht="15.75" customHeight="1" x14ac:dyDescent="0.45">
      <c r="S622" s="61"/>
      <c r="T622" s="61"/>
      <c r="U622" s="61"/>
      <c r="V622" s="61"/>
      <c r="W622" s="58"/>
    </row>
    <row r="623" spans="19:23" ht="15.75" customHeight="1" x14ac:dyDescent="0.45">
      <c r="S623" s="61"/>
      <c r="T623" s="61"/>
      <c r="U623" s="61"/>
      <c r="V623" s="61"/>
      <c r="W623" s="58"/>
    </row>
    <row r="624" spans="19:23" ht="15.75" customHeight="1" x14ac:dyDescent="0.45">
      <c r="S624" s="61"/>
      <c r="T624" s="61"/>
      <c r="U624" s="61"/>
      <c r="V624" s="61"/>
      <c r="W624" s="58"/>
    </row>
    <row r="625" spans="19:23" ht="15.75" customHeight="1" x14ac:dyDescent="0.45">
      <c r="S625" s="61"/>
      <c r="T625" s="61"/>
      <c r="U625" s="61"/>
      <c r="V625" s="61"/>
      <c r="W625" s="58"/>
    </row>
    <row r="626" spans="19:23" ht="15.75" customHeight="1" x14ac:dyDescent="0.45">
      <c r="S626" s="61"/>
      <c r="T626" s="61"/>
      <c r="U626" s="61"/>
      <c r="V626" s="61"/>
      <c r="W626" s="58"/>
    </row>
    <row r="627" spans="19:23" ht="15.75" customHeight="1" x14ac:dyDescent="0.45">
      <c r="S627" s="61"/>
      <c r="T627" s="61"/>
      <c r="U627" s="61"/>
      <c r="V627" s="61"/>
      <c r="W627" s="58"/>
    </row>
    <row r="628" spans="19:23" ht="15.75" customHeight="1" x14ac:dyDescent="0.45">
      <c r="S628" s="61"/>
      <c r="T628" s="61"/>
      <c r="U628" s="61"/>
      <c r="V628" s="61"/>
      <c r="W628" s="58"/>
    </row>
    <row r="629" spans="19:23" ht="15.75" customHeight="1" x14ac:dyDescent="0.45">
      <c r="S629" s="61"/>
      <c r="T629" s="61"/>
      <c r="U629" s="61"/>
      <c r="V629" s="61"/>
      <c r="W629" s="58"/>
    </row>
    <row r="630" spans="19:23" ht="15.75" customHeight="1" x14ac:dyDescent="0.45">
      <c r="S630" s="61"/>
      <c r="T630" s="61"/>
      <c r="U630" s="61"/>
      <c r="V630" s="61"/>
      <c r="W630" s="58"/>
    </row>
    <row r="631" spans="19:23" ht="15.75" customHeight="1" x14ac:dyDescent="0.45">
      <c r="S631" s="61"/>
      <c r="T631" s="61"/>
      <c r="U631" s="61"/>
      <c r="V631" s="61"/>
      <c r="W631" s="58"/>
    </row>
    <row r="632" spans="19:23" ht="15.75" customHeight="1" x14ac:dyDescent="0.45">
      <c r="S632" s="61"/>
      <c r="T632" s="61"/>
      <c r="U632" s="61"/>
      <c r="V632" s="61"/>
      <c r="W632" s="58"/>
    </row>
    <row r="633" spans="19:23" ht="15.75" customHeight="1" x14ac:dyDescent="0.45">
      <c r="S633" s="61"/>
      <c r="T633" s="61"/>
      <c r="U633" s="61"/>
      <c r="V633" s="61"/>
      <c r="W633" s="58"/>
    </row>
    <row r="634" spans="19:23" ht="15.75" customHeight="1" x14ac:dyDescent="0.45">
      <c r="S634" s="61"/>
      <c r="T634" s="61"/>
      <c r="U634" s="61"/>
      <c r="V634" s="61"/>
      <c r="W634" s="58"/>
    </row>
    <row r="635" spans="19:23" ht="15.75" customHeight="1" x14ac:dyDescent="0.45">
      <c r="S635" s="61"/>
      <c r="T635" s="61"/>
      <c r="U635" s="61"/>
      <c r="V635" s="61"/>
      <c r="W635" s="58"/>
    </row>
    <row r="636" spans="19:23" ht="15.75" customHeight="1" x14ac:dyDescent="0.45">
      <c r="S636" s="61"/>
      <c r="T636" s="61"/>
      <c r="U636" s="61"/>
      <c r="V636" s="61"/>
      <c r="W636" s="58"/>
    </row>
    <row r="637" spans="19:23" ht="15.75" customHeight="1" x14ac:dyDescent="0.45">
      <c r="S637" s="61"/>
      <c r="T637" s="61"/>
      <c r="U637" s="61"/>
      <c r="V637" s="61"/>
      <c r="W637" s="58"/>
    </row>
    <row r="638" spans="19:23" ht="15.75" customHeight="1" x14ac:dyDescent="0.45">
      <c r="S638" s="61"/>
      <c r="T638" s="61"/>
      <c r="U638" s="61"/>
      <c r="V638" s="61"/>
      <c r="W638" s="58"/>
    </row>
    <row r="639" spans="19:23" ht="15.75" customHeight="1" x14ac:dyDescent="0.45">
      <c r="S639" s="61"/>
      <c r="T639" s="61"/>
      <c r="U639" s="61"/>
      <c r="V639" s="61"/>
      <c r="W639" s="58"/>
    </row>
    <row r="640" spans="19:23" ht="15.75" customHeight="1" x14ac:dyDescent="0.45">
      <c r="S640" s="61"/>
      <c r="T640" s="61"/>
      <c r="U640" s="61"/>
      <c r="V640" s="61"/>
      <c r="W640" s="58"/>
    </row>
    <row r="641" spans="19:23" ht="15.75" customHeight="1" x14ac:dyDescent="0.45">
      <c r="S641" s="61"/>
      <c r="T641" s="61"/>
      <c r="U641" s="61"/>
      <c r="V641" s="61"/>
      <c r="W641" s="58"/>
    </row>
    <row r="642" spans="19:23" ht="15.75" customHeight="1" x14ac:dyDescent="0.45">
      <c r="S642" s="61"/>
      <c r="T642" s="61"/>
      <c r="U642" s="61"/>
      <c r="V642" s="61"/>
      <c r="W642" s="58"/>
    </row>
    <row r="643" spans="19:23" ht="15.75" customHeight="1" x14ac:dyDescent="0.45">
      <c r="S643" s="61"/>
      <c r="T643" s="61"/>
      <c r="U643" s="61"/>
      <c r="V643" s="61"/>
      <c r="W643" s="58"/>
    </row>
    <row r="644" spans="19:23" ht="15.75" customHeight="1" x14ac:dyDescent="0.45">
      <c r="S644" s="61"/>
      <c r="T644" s="61"/>
      <c r="U644" s="61"/>
      <c r="V644" s="61"/>
      <c r="W644" s="58"/>
    </row>
    <row r="645" spans="19:23" ht="15.75" customHeight="1" x14ac:dyDescent="0.45">
      <c r="S645" s="61"/>
      <c r="T645" s="61"/>
      <c r="U645" s="61"/>
      <c r="V645" s="61"/>
      <c r="W645" s="58"/>
    </row>
    <row r="646" spans="19:23" ht="15.75" customHeight="1" x14ac:dyDescent="0.45">
      <c r="S646" s="61"/>
      <c r="T646" s="61"/>
      <c r="U646" s="61"/>
      <c r="V646" s="61"/>
      <c r="W646" s="58"/>
    </row>
    <row r="647" spans="19:23" ht="15.75" customHeight="1" x14ac:dyDescent="0.45">
      <c r="S647" s="61"/>
      <c r="T647" s="61"/>
      <c r="U647" s="61"/>
      <c r="V647" s="61"/>
      <c r="W647" s="58"/>
    </row>
    <row r="648" spans="19:23" ht="15.75" customHeight="1" x14ac:dyDescent="0.45">
      <c r="S648" s="61"/>
      <c r="T648" s="61"/>
      <c r="U648" s="61"/>
      <c r="V648" s="61"/>
      <c r="W648" s="58"/>
    </row>
    <row r="649" spans="19:23" ht="15.75" customHeight="1" x14ac:dyDescent="0.45">
      <c r="S649" s="61"/>
      <c r="T649" s="61"/>
      <c r="U649" s="61"/>
      <c r="V649" s="61"/>
      <c r="W649" s="58"/>
    </row>
    <row r="650" spans="19:23" ht="15.75" customHeight="1" x14ac:dyDescent="0.45">
      <c r="S650" s="61"/>
      <c r="T650" s="61"/>
      <c r="U650" s="61"/>
      <c r="V650" s="61"/>
      <c r="W650" s="58"/>
    </row>
    <row r="651" spans="19:23" ht="15.75" customHeight="1" x14ac:dyDescent="0.45">
      <c r="S651" s="61"/>
      <c r="T651" s="61"/>
      <c r="U651" s="61"/>
      <c r="V651" s="61"/>
      <c r="W651" s="58"/>
    </row>
    <row r="652" spans="19:23" ht="15.75" customHeight="1" x14ac:dyDescent="0.45">
      <c r="S652" s="61"/>
      <c r="T652" s="61"/>
      <c r="U652" s="61"/>
      <c r="V652" s="61"/>
      <c r="W652" s="58"/>
    </row>
    <row r="653" spans="19:23" ht="15.75" customHeight="1" x14ac:dyDescent="0.45">
      <c r="S653" s="61"/>
      <c r="T653" s="61"/>
      <c r="U653" s="61"/>
      <c r="V653" s="61"/>
      <c r="W653" s="58"/>
    </row>
    <row r="654" spans="19:23" ht="15.75" customHeight="1" x14ac:dyDescent="0.45">
      <c r="S654" s="61"/>
      <c r="T654" s="61"/>
      <c r="U654" s="61"/>
      <c r="V654" s="61"/>
      <c r="W654" s="58"/>
    </row>
    <row r="655" spans="19:23" ht="15.75" customHeight="1" x14ac:dyDescent="0.45">
      <c r="S655" s="61"/>
      <c r="T655" s="61"/>
      <c r="U655" s="61"/>
      <c r="V655" s="61"/>
      <c r="W655" s="58"/>
    </row>
    <row r="656" spans="19:23" ht="15.75" customHeight="1" x14ac:dyDescent="0.45">
      <c r="S656" s="61"/>
      <c r="T656" s="61"/>
      <c r="U656" s="61"/>
      <c r="V656" s="61"/>
      <c r="W656" s="58"/>
    </row>
    <row r="657" spans="19:23" ht="15.75" customHeight="1" x14ac:dyDescent="0.45">
      <c r="S657" s="61"/>
      <c r="T657" s="61"/>
      <c r="U657" s="61"/>
      <c r="V657" s="61"/>
      <c r="W657" s="58"/>
    </row>
    <row r="658" spans="19:23" ht="15.75" customHeight="1" x14ac:dyDescent="0.45">
      <c r="S658" s="61"/>
      <c r="T658" s="61"/>
      <c r="U658" s="61"/>
      <c r="V658" s="61"/>
      <c r="W658" s="58"/>
    </row>
    <row r="659" spans="19:23" ht="15.75" customHeight="1" x14ac:dyDescent="0.45">
      <c r="S659" s="61"/>
      <c r="T659" s="61"/>
      <c r="U659" s="61"/>
      <c r="V659" s="61"/>
      <c r="W659" s="58"/>
    </row>
    <row r="660" spans="19:23" ht="15.75" customHeight="1" x14ac:dyDescent="0.45">
      <c r="S660" s="61"/>
      <c r="T660" s="61"/>
      <c r="U660" s="61"/>
      <c r="V660" s="61"/>
      <c r="W660" s="58"/>
    </row>
    <row r="661" spans="19:23" ht="15.75" customHeight="1" x14ac:dyDescent="0.45">
      <c r="S661" s="61"/>
      <c r="T661" s="61"/>
      <c r="U661" s="61"/>
      <c r="V661" s="61"/>
      <c r="W661" s="58"/>
    </row>
    <row r="662" spans="19:23" ht="15.75" customHeight="1" x14ac:dyDescent="0.45">
      <c r="S662" s="61"/>
      <c r="T662" s="61"/>
      <c r="U662" s="61"/>
      <c r="V662" s="61"/>
      <c r="W662" s="58"/>
    </row>
    <row r="663" spans="19:23" ht="15.75" customHeight="1" x14ac:dyDescent="0.45">
      <c r="S663" s="61"/>
      <c r="T663" s="61"/>
      <c r="U663" s="61"/>
      <c r="V663" s="61"/>
      <c r="W663" s="58"/>
    </row>
    <row r="664" spans="19:23" ht="15.75" customHeight="1" x14ac:dyDescent="0.45">
      <c r="S664" s="61"/>
      <c r="T664" s="61"/>
      <c r="U664" s="61"/>
      <c r="V664" s="61"/>
      <c r="W664" s="58"/>
    </row>
    <row r="665" spans="19:23" ht="15.75" customHeight="1" x14ac:dyDescent="0.45">
      <c r="S665" s="61"/>
      <c r="T665" s="61"/>
      <c r="U665" s="61"/>
      <c r="V665" s="61"/>
      <c r="W665" s="58"/>
    </row>
    <row r="666" spans="19:23" ht="15.75" customHeight="1" x14ac:dyDescent="0.45">
      <c r="S666" s="61"/>
      <c r="T666" s="61"/>
      <c r="U666" s="61"/>
      <c r="V666" s="61"/>
      <c r="W666" s="58"/>
    </row>
    <row r="667" spans="19:23" ht="15.75" customHeight="1" x14ac:dyDescent="0.45">
      <c r="S667" s="61"/>
      <c r="T667" s="61"/>
      <c r="U667" s="61"/>
      <c r="V667" s="61"/>
      <c r="W667" s="58"/>
    </row>
    <row r="668" spans="19:23" ht="15.75" customHeight="1" x14ac:dyDescent="0.45">
      <c r="S668" s="61"/>
      <c r="T668" s="61"/>
      <c r="U668" s="61"/>
      <c r="V668" s="61"/>
      <c r="W668" s="58"/>
    </row>
    <row r="669" spans="19:23" ht="15.75" customHeight="1" x14ac:dyDescent="0.45">
      <c r="S669" s="61"/>
      <c r="T669" s="61"/>
      <c r="U669" s="61"/>
      <c r="V669" s="61"/>
      <c r="W669" s="58"/>
    </row>
    <row r="670" spans="19:23" ht="15.75" customHeight="1" x14ac:dyDescent="0.45">
      <c r="S670" s="61"/>
      <c r="T670" s="61"/>
      <c r="U670" s="61"/>
      <c r="V670" s="61"/>
      <c r="W670" s="58"/>
    </row>
    <row r="671" spans="19:23" ht="15.75" customHeight="1" x14ac:dyDescent="0.45">
      <c r="S671" s="61"/>
      <c r="T671" s="61"/>
      <c r="U671" s="61"/>
      <c r="V671" s="61"/>
      <c r="W671" s="58"/>
    </row>
    <row r="672" spans="19:23" ht="15.75" customHeight="1" x14ac:dyDescent="0.45">
      <c r="S672" s="61"/>
      <c r="T672" s="61"/>
      <c r="U672" s="61"/>
      <c r="V672" s="61"/>
      <c r="W672" s="58"/>
    </row>
    <row r="673" spans="19:23" ht="15.75" customHeight="1" x14ac:dyDescent="0.45">
      <c r="S673" s="61"/>
      <c r="T673" s="61"/>
      <c r="U673" s="61"/>
      <c r="V673" s="61"/>
      <c r="W673" s="58"/>
    </row>
    <row r="674" spans="19:23" ht="15.75" customHeight="1" x14ac:dyDescent="0.45">
      <c r="S674" s="61"/>
      <c r="T674" s="61"/>
      <c r="U674" s="61"/>
      <c r="V674" s="61"/>
      <c r="W674" s="58"/>
    </row>
    <row r="675" spans="19:23" ht="15.75" customHeight="1" x14ac:dyDescent="0.45">
      <c r="S675" s="61"/>
      <c r="T675" s="61"/>
      <c r="U675" s="61"/>
      <c r="V675" s="61"/>
      <c r="W675" s="58"/>
    </row>
    <row r="676" spans="19:23" ht="15.75" customHeight="1" x14ac:dyDescent="0.45">
      <c r="S676" s="61"/>
      <c r="T676" s="61"/>
      <c r="U676" s="61"/>
      <c r="V676" s="61"/>
      <c r="W676" s="58"/>
    </row>
    <row r="677" spans="19:23" ht="15.75" customHeight="1" x14ac:dyDescent="0.45">
      <c r="S677" s="61"/>
      <c r="T677" s="61"/>
      <c r="U677" s="61"/>
      <c r="V677" s="61"/>
      <c r="W677" s="58"/>
    </row>
    <row r="678" spans="19:23" ht="15.75" customHeight="1" x14ac:dyDescent="0.45">
      <c r="S678" s="61"/>
      <c r="T678" s="61"/>
      <c r="U678" s="61"/>
      <c r="V678" s="61"/>
      <c r="W678" s="58"/>
    </row>
    <row r="679" spans="19:23" ht="15.75" customHeight="1" x14ac:dyDescent="0.45">
      <c r="S679" s="61"/>
      <c r="T679" s="61"/>
      <c r="U679" s="61"/>
      <c r="V679" s="61"/>
      <c r="W679" s="58"/>
    </row>
    <row r="680" spans="19:23" ht="15.75" customHeight="1" x14ac:dyDescent="0.45">
      <c r="S680" s="61"/>
      <c r="T680" s="61"/>
      <c r="U680" s="61"/>
      <c r="V680" s="61"/>
      <c r="W680" s="58"/>
    </row>
    <row r="681" spans="19:23" ht="15.75" customHeight="1" x14ac:dyDescent="0.45">
      <c r="S681" s="61"/>
      <c r="T681" s="61"/>
      <c r="U681" s="61"/>
      <c r="V681" s="61"/>
      <c r="W681" s="58"/>
    </row>
    <row r="682" spans="19:23" ht="15.75" customHeight="1" x14ac:dyDescent="0.45">
      <c r="S682" s="61"/>
      <c r="T682" s="61"/>
      <c r="U682" s="61"/>
      <c r="V682" s="61"/>
      <c r="W682" s="58"/>
    </row>
    <row r="683" spans="19:23" ht="15.75" customHeight="1" x14ac:dyDescent="0.45">
      <c r="S683" s="61"/>
      <c r="T683" s="61"/>
      <c r="U683" s="61"/>
      <c r="V683" s="61"/>
      <c r="W683" s="58"/>
    </row>
    <row r="684" spans="19:23" ht="15.75" customHeight="1" x14ac:dyDescent="0.45">
      <c r="S684" s="61"/>
      <c r="T684" s="61"/>
      <c r="U684" s="61"/>
      <c r="V684" s="61"/>
      <c r="W684" s="58"/>
    </row>
    <row r="685" spans="19:23" ht="15.75" customHeight="1" x14ac:dyDescent="0.45">
      <c r="S685" s="61"/>
      <c r="T685" s="61"/>
      <c r="U685" s="61"/>
      <c r="V685" s="61"/>
      <c r="W685" s="58"/>
    </row>
    <row r="686" spans="19:23" ht="15.75" customHeight="1" x14ac:dyDescent="0.45">
      <c r="S686" s="61"/>
      <c r="T686" s="61"/>
      <c r="U686" s="61"/>
      <c r="V686" s="61"/>
      <c r="W686" s="58"/>
    </row>
    <row r="687" spans="19:23" ht="15.75" customHeight="1" x14ac:dyDescent="0.45">
      <c r="S687" s="61"/>
      <c r="T687" s="61"/>
      <c r="U687" s="61"/>
      <c r="V687" s="61"/>
      <c r="W687" s="58"/>
    </row>
    <row r="688" spans="19:23" ht="15.75" customHeight="1" x14ac:dyDescent="0.45">
      <c r="S688" s="61"/>
      <c r="T688" s="61"/>
      <c r="U688" s="61"/>
      <c r="V688" s="61"/>
      <c r="W688" s="58"/>
    </row>
    <row r="689" spans="19:23" ht="15.75" customHeight="1" x14ac:dyDescent="0.45">
      <c r="S689" s="61"/>
      <c r="T689" s="61"/>
      <c r="U689" s="61"/>
      <c r="V689" s="61"/>
      <c r="W689" s="58"/>
    </row>
    <row r="690" spans="19:23" ht="15.75" customHeight="1" x14ac:dyDescent="0.45">
      <c r="S690" s="61"/>
      <c r="T690" s="61"/>
      <c r="U690" s="61"/>
      <c r="V690" s="61"/>
      <c r="W690" s="58"/>
    </row>
    <row r="691" spans="19:23" ht="15.75" customHeight="1" x14ac:dyDescent="0.45">
      <c r="S691" s="61"/>
      <c r="T691" s="61"/>
      <c r="U691" s="61"/>
      <c r="V691" s="61"/>
      <c r="W691" s="58"/>
    </row>
    <row r="692" spans="19:23" ht="15.75" customHeight="1" x14ac:dyDescent="0.45">
      <c r="S692" s="61"/>
      <c r="T692" s="61"/>
      <c r="U692" s="61"/>
      <c r="V692" s="61"/>
      <c r="W692" s="58"/>
    </row>
    <row r="693" spans="19:23" ht="15.75" customHeight="1" x14ac:dyDescent="0.45">
      <c r="S693" s="61"/>
      <c r="T693" s="61"/>
      <c r="U693" s="61"/>
      <c r="V693" s="61"/>
      <c r="W693" s="58"/>
    </row>
    <row r="694" spans="19:23" ht="15.75" customHeight="1" x14ac:dyDescent="0.45">
      <c r="S694" s="61"/>
      <c r="T694" s="61"/>
      <c r="U694" s="61"/>
      <c r="V694" s="61"/>
      <c r="W694" s="58"/>
    </row>
    <row r="695" spans="19:23" ht="15.75" customHeight="1" x14ac:dyDescent="0.45">
      <c r="S695" s="61"/>
      <c r="T695" s="61"/>
      <c r="U695" s="61"/>
      <c r="V695" s="61"/>
      <c r="W695" s="58"/>
    </row>
    <row r="696" spans="19:23" ht="15.75" customHeight="1" x14ac:dyDescent="0.45">
      <c r="S696" s="61"/>
      <c r="T696" s="61"/>
      <c r="U696" s="61"/>
      <c r="V696" s="61"/>
      <c r="W696" s="58"/>
    </row>
    <row r="697" spans="19:23" ht="15.75" customHeight="1" x14ac:dyDescent="0.45">
      <c r="S697" s="61"/>
      <c r="T697" s="61"/>
      <c r="U697" s="61"/>
      <c r="V697" s="61"/>
      <c r="W697" s="58"/>
    </row>
    <row r="698" spans="19:23" ht="15.75" customHeight="1" x14ac:dyDescent="0.45">
      <c r="S698" s="61"/>
      <c r="T698" s="61"/>
      <c r="U698" s="61"/>
      <c r="V698" s="61"/>
      <c r="W698" s="58"/>
    </row>
    <row r="699" spans="19:23" ht="15.75" customHeight="1" x14ac:dyDescent="0.45">
      <c r="S699" s="61"/>
      <c r="T699" s="61"/>
      <c r="U699" s="61"/>
      <c r="V699" s="61"/>
      <c r="W699" s="58"/>
    </row>
    <row r="700" spans="19:23" ht="15.75" customHeight="1" x14ac:dyDescent="0.45">
      <c r="S700" s="61"/>
      <c r="T700" s="61"/>
      <c r="U700" s="61"/>
      <c r="V700" s="61"/>
      <c r="W700" s="58"/>
    </row>
    <row r="701" spans="19:23" ht="15.75" customHeight="1" x14ac:dyDescent="0.45">
      <c r="S701" s="61"/>
      <c r="T701" s="61"/>
      <c r="U701" s="61"/>
      <c r="V701" s="61"/>
      <c r="W701" s="58"/>
    </row>
    <row r="702" spans="19:23" ht="15.75" customHeight="1" x14ac:dyDescent="0.45">
      <c r="S702" s="61"/>
      <c r="T702" s="61"/>
      <c r="U702" s="61"/>
      <c r="V702" s="61"/>
      <c r="W702" s="58"/>
    </row>
    <row r="703" spans="19:23" ht="15.75" customHeight="1" x14ac:dyDescent="0.45">
      <c r="S703" s="61"/>
      <c r="T703" s="61"/>
      <c r="U703" s="61"/>
      <c r="V703" s="61"/>
      <c r="W703" s="58"/>
    </row>
    <row r="704" spans="19:23" ht="15.75" customHeight="1" x14ac:dyDescent="0.45">
      <c r="S704" s="61"/>
      <c r="T704" s="61"/>
      <c r="U704" s="61"/>
      <c r="V704" s="61"/>
      <c r="W704" s="58"/>
    </row>
    <row r="705" spans="19:23" ht="15.75" customHeight="1" x14ac:dyDescent="0.45">
      <c r="S705" s="61"/>
      <c r="T705" s="61"/>
      <c r="U705" s="61"/>
      <c r="V705" s="61"/>
      <c r="W705" s="58"/>
    </row>
    <row r="706" spans="19:23" ht="15.75" customHeight="1" x14ac:dyDescent="0.45">
      <c r="S706" s="61"/>
      <c r="T706" s="61"/>
      <c r="U706" s="61"/>
      <c r="V706" s="61"/>
      <c r="W706" s="58"/>
    </row>
    <row r="707" spans="19:23" ht="15.75" customHeight="1" x14ac:dyDescent="0.45">
      <c r="S707" s="61"/>
      <c r="T707" s="61"/>
      <c r="U707" s="61"/>
      <c r="V707" s="61"/>
      <c r="W707" s="58"/>
    </row>
    <row r="708" spans="19:23" ht="15.75" customHeight="1" x14ac:dyDescent="0.45">
      <c r="S708" s="61"/>
      <c r="T708" s="61"/>
      <c r="U708" s="61"/>
      <c r="V708" s="61"/>
      <c r="W708" s="58"/>
    </row>
    <row r="709" spans="19:23" ht="15.75" customHeight="1" x14ac:dyDescent="0.45">
      <c r="S709" s="61"/>
      <c r="T709" s="61"/>
      <c r="U709" s="61"/>
      <c r="V709" s="61"/>
      <c r="W709" s="58"/>
    </row>
    <row r="710" spans="19:23" ht="15.75" customHeight="1" x14ac:dyDescent="0.45">
      <c r="S710" s="61"/>
      <c r="T710" s="61"/>
      <c r="U710" s="61"/>
      <c r="V710" s="61"/>
      <c r="W710" s="58"/>
    </row>
    <row r="711" spans="19:23" ht="15.75" customHeight="1" x14ac:dyDescent="0.45">
      <c r="S711" s="61"/>
      <c r="T711" s="61"/>
      <c r="U711" s="61"/>
      <c r="V711" s="61"/>
      <c r="W711" s="58"/>
    </row>
    <row r="712" spans="19:23" ht="15.75" customHeight="1" x14ac:dyDescent="0.45">
      <c r="S712" s="61"/>
      <c r="T712" s="61"/>
      <c r="U712" s="61"/>
      <c r="V712" s="61"/>
      <c r="W712" s="58"/>
    </row>
    <row r="713" spans="19:23" ht="15.75" customHeight="1" x14ac:dyDescent="0.45">
      <c r="S713" s="61"/>
      <c r="T713" s="61"/>
      <c r="U713" s="61"/>
      <c r="V713" s="61"/>
      <c r="W713" s="58"/>
    </row>
    <row r="714" spans="19:23" ht="15.75" customHeight="1" x14ac:dyDescent="0.45">
      <c r="S714" s="61"/>
      <c r="T714" s="61"/>
      <c r="U714" s="61"/>
      <c r="V714" s="61"/>
      <c r="W714" s="58"/>
    </row>
    <row r="715" spans="19:23" ht="15.75" customHeight="1" x14ac:dyDescent="0.45">
      <c r="S715" s="61"/>
      <c r="T715" s="61"/>
      <c r="U715" s="61"/>
      <c r="V715" s="61"/>
      <c r="W715" s="58"/>
    </row>
    <row r="716" spans="19:23" ht="15.75" customHeight="1" x14ac:dyDescent="0.45">
      <c r="S716" s="61"/>
      <c r="T716" s="61"/>
      <c r="U716" s="61"/>
      <c r="V716" s="61"/>
      <c r="W716" s="58"/>
    </row>
    <row r="717" spans="19:23" ht="15.75" customHeight="1" x14ac:dyDescent="0.45">
      <c r="S717" s="61"/>
      <c r="T717" s="61"/>
      <c r="U717" s="61"/>
      <c r="V717" s="61"/>
      <c r="W717" s="58"/>
    </row>
    <row r="718" spans="19:23" ht="15.75" customHeight="1" x14ac:dyDescent="0.45">
      <c r="S718" s="61"/>
      <c r="T718" s="61"/>
      <c r="U718" s="61"/>
      <c r="V718" s="61"/>
      <c r="W718" s="58"/>
    </row>
    <row r="719" spans="19:23" ht="15.75" customHeight="1" x14ac:dyDescent="0.45">
      <c r="S719" s="61"/>
      <c r="T719" s="61"/>
      <c r="U719" s="61"/>
      <c r="V719" s="61"/>
      <c r="W719" s="58"/>
    </row>
    <row r="720" spans="19:23" ht="15.75" customHeight="1" x14ac:dyDescent="0.45">
      <c r="S720" s="61"/>
      <c r="T720" s="61"/>
      <c r="U720" s="61"/>
      <c r="V720" s="61"/>
      <c r="W720" s="58"/>
    </row>
    <row r="721" spans="19:23" ht="15.75" customHeight="1" x14ac:dyDescent="0.45">
      <c r="S721" s="61"/>
      <c r="T721" s="61"/>
      <c r="U721" s="61"/>
      <c r="V721" s="61"/>
      <c r="W721" s="58"/>
    </row>
    <row r="722" spans="19:23" ht="15.75" customHeight="1" x14ac:dyDescent="0.45">
      <c r="S722" s="61"/>
      <c r="T722" s="61"/>
      <c r="U722" s="61"/>
      <c r="V722" s="61"/>
      <c r="W722" s="58"/>
    </row>
    <row r="723" spans="19:23" ht="15.75" customHeight="1" x14ac:dyDescent="0.45">
      <c r="S723" s="61"/>
      <c r="T723" s="61"/>
      <c r="U723" s="61"/>
      <c r="V723" s="61"/>
      <c r="W723" s="58"/>
    </row>
    <row r="724" spans="19:23" ht="15.75" customHeight="1" x14ac:dyDescent="0.45">
      <c r="S724" s="61"/>
      <c r="T724" s="61"/>
      <c r="U724" s="61"/>
      <c r="V724" s="61"/>
      <c r="W724" s="58"/>
    </row>
    <row r="725" spans="19:23" ht="15.75" customHeight="1" x14ac:dyDescent="0.45">
      <c r="S725" s="61"/>
      <c r="T725" s="61"/>
      <c r="U725" s="61"/>
      <c r="V725" s="61"/>
      <c r="W725" s="58"/>
    </row>
    <row r="726" spans="19:23" ht="15.75" customHeight="1" x14ac:dyDescent="0.45">
      <c r="S726" s="61"/>
      <c r="T726" s="61"/>
      <c r="U726" s="61"/>
      <c r="V726" s="61"/>
      <c r="W726" s="58"/>
    </row>
    <row r="727" spans="19:23" ht="15.75" customHeight="1" x14ac:dyDescent="0.45">
      <c r="S727" s="61"/>
      <c r="T727" s="61"/>
      <c r="U727" s="61"/>
      <c r="V727" s="61"/>
      <c r="W727" s="58"/>
    </row>
    <row r="728" spans="19:23" ht="15.75" customHeight="1" x14ac:dyDescent="0.45">
      <c r="S728" s="61"/>
      <c r="T728" s="61"/>
      <c r="U728" s="61"/>
      <c r="V728" s="61"/>
      <c r="W728" s="58"/>
    </row>
    <row r="729" spans="19:23" ht="15.75" customHeight="1" x14ac:dyDescent="0.45">
      <c r="S729" s="61"/>
      <c r="T729" s="61"/>
      <c r="U729" s="61"/>
      <c r="V729" s="61"/>
      <c r="W729" s="58"/>
    </row>
    <row r="730" spans="19:23" ht="15.75" customHeight="1" x14ac:dyDescent="0.45">
      <c r="S730" s="61"/>
      <c r="T730" s="61"/>
      <c r="U730" s="61"/>
      <c r="V730" s="61"/>
      <c r="W730" s="58"/>
    </row>
    <row r="731" spans="19:23" ht="15.75" customHeight="1" x14ac:dyDescent="0.45">
      <c r="S731" s="61"/>
      <c r="T731" s="61"/>
      <c r="U731" s="61"/>
      <c r="V731" s="61"/>
      <c r="W731" s="58"/>
    </row>
    <row r="732" spans="19:23" ht="15.75" customHeight="1" x14ac:dyDescent="0.45">
      <c r="S732" s="61"/>
      <c r="T732" s="61"/>
      <c r="U732" s="61"/>
      <c r="V732" s="61"/>
      <c r="W732" s="58"/>
    </row>
    <row r="733" spans="19:23" ht="15.75" customHeight="1" x14ac:dyDescent="0.45">
      <c r="S733" s="61"/>
      <c r="T733" s="61"/>
      <c r="U733" s="61"/>
      <c r="V733" s="61"/>
      <c r="W733" s="58"/>
    </row>
    <row r="734" spans="19:23" ht="15.75" customHeight="1" x14ac:dyDescent="0.45">
      <c r="S734" s="61"/>
      <c r="T734" s="61"/>
      <c r="U734" s="61"/>
      <c r="V734" s="61"/>
      <c r="W734" s="58"/>
    </row>
    <row r="735" spans="19:23" ht="15.75" customHeight="1" x14ac:dyDescent="0.45">
      <c r="S735" s="61"/>
      <c r="T735" s="61"/>
      <c r="U735" s="61"/>
      <c r="V735" s="61"/>
      <c r="W735" s="58"/>
    </row>
    <row r="736" spans="19:23" ht="15.75" customHeight="1" x14ac:dyDescent="0.45">
      <c r="S736" s="61"/>
      <c r="T736" s="61"/>
      <c r="U736" s="61"/>
      <c r="V736" s="61"/>
      <c r="W736" s="58"/>
    </row>
    <row r="737" spans="19:23" ht="15.75" customHeight="1" x14ac:dyDescent="0.45">
      <c r="S737" s="61"/>
      <c r="T737" s="61"/>
      <c r="U737" s="61"/>
      <c r="V737" s="61"/>
      <c r="W737" s="58"/>
    </row>
    <row r="738" spans="19:23" ht="15.75" customHeight="1" x14ac:dyDescent="0.45">
      <c r="S738" s="61"/>
      <c r="T738" s="61"/>
      <c r="U738" s="61"/>
      <c r="V738" s="61"/>
      <c r="W738" s="58"/>
    </row>
    <row r="739" spans="19:23" ht="15.75" customHeight="1" x14ac:dyDescent="0.45">
      <c r="S739" s="61"/>
      <c r="T739" s="61"/>
      <c r="U739" s="61"/>
      <c r="V739" s="61"/>
      <c r="W739" s="58"/>
    </row>
    <row r="740" spans="19:23" ht="15.75" customHeight="1" x14ac:dyDescent="0.45">
      <c r="S740" s="61"/>
      <c r="T740" s="61"/>
      <c r="U740" s="61"/>
      <c r="V740" s="61"/>
      <c r="W740" s="58"/>
    </row>
    <row r="741" spans="19:23" ht="15.75" customHeight="1" x14ac:dyDescent="0.45">
      <c r="S741" s="61"/>
      <c r="T741" s="61"/>
      <c r="U741" s="61"/>
      <c r="V741" s="61"/>
      <c r="W741" s="58"/>
    </row>
    <row r="742" spans="19:23" ht="15.75" customHeight="1" x14ac:dyDescent="0.45">
      <c r="S742" s="61"/>
      <c r="T742" s="61"/>
      <c r="U742" s="61"/>
      <c r="V742" s="61"/>
      <c r="W742" s="58"/>
    </row>
    <row r="743" spans="19:23" ht="15.75" customHeight="1" x14ac:dyDescent="0.45">
      <c r="S743" s="61"/>
      <c r="T743" s="61"/>
      <c r="U743" s="61"/>
      <c r="V743" s="61"/>
      <c r="W743" s="58"/>
    </row>
    <row r="744" spans="19:23" ht="15.75" customHeight="1" x14ac:dyDescent="0.45">
      <c r="S744" s="61"/>
      <c r="T744" s="61"/>
      <c r="U744" s="61"/>
      <c r="V744" s="61"/>
      <c r="W744" s="58"/>
    </row>
    <row r="745" spans="19:23" ht="15.75" customHeight="1" x14ac:dyDescent="0.45">
      <c r="S745" s="61"/>
      <c r="T745" s="61"/>
      <c r="U745" s="61"/>
      <c r="V745" s="61"/>
      <c r="W745" s="58"/>
    </row>
    <row r="746" spans="19:23" ht="15.75" customHeight="1" x14ac:dyDescent="0.45">
      <c r="S746" s="61"/>
      <c r="T746" s="61"/>
      <c r="U746" s="61"/>
      <c r="V746" s="61"/>
      <c r="W746" s="58"/>
    </row>
    <row r="747" spans="19:23" ht="15.75" customHeight="1" x14ac:dyDescent="0.45">
      <c r="S747" s="61"/>
      <c r="T747" s="61"/>
      <c r="U747" s="61"/>
      <c r="V747" s="61"/>
      <c r="W747" s="58"/>
    </row>
    <row r="748" spans="19:23" ht="15.75" customHeight="1" x14ac:dyDescent="0.45">
      <c r="S748" s="61"/>
      <c r="T748" s="61"/>
      <c r="U748" s="61"/>
      <c r="V748" s="61"/>
      <c r="W748" s="58"/>
    </row>
    <row r="749" spans="19:23" ht="15.75" customHeight="1" x14ac:dyDescent="0.45">
      <c r="S749" s="61"/>
      <c r="T749" s="61"/>
      <c r="U749" s="61"/>
      <c r="V749" s="61"/>
      <c r="W749" s="58"/>
    </row>
    <row r="750" spans="19:23" ht="15.75" customHeight="1" x14ac:dyDescent="0.45">
      <c r="S750" s="61"/>
      <c r="T750" s="61"/>
      <c r="U750" s="61"/>
      <c r="V750" s="61"/>
      <c r="W750" s="58"/>
    </row>
    <row r="751" spans="19:23" ht="15.75" customHeight="1" x14ac:dyDescent="0.45">
      <c r="S751" s="61"/>
      <c r="T751" s="61"/>
      <c r="U751" s="61"/>
      <c r="V751" s="61"/>
      <c r="W751" s="58"/>
    </row>
    <row r="752" spans="19:23" ht="15.75" customHeight="1" x14ac:dyDescent="0.45">
      <c r="S752" s="61"/>
      <c r="T752" s="61"/>
      <c r="U752" s="61"/>
      <c r="V752" s="61"/>
      <c r="W752" s="58"/>
    </row>
    <row r="753" spans="19:23" ht="15.75" customHeight="1" x14ac:dyDescent="0.45">
      <c r="S753" s="61"/>
      <c r="T753" s="61"/>
      <c r="U753" s="61"/>
      <c r="V753" s="61"/>
      <c r="W753" s="58"/>
    </row>
    <row r="754" spans="19:23" ht="15.75" customHeight="1" x14ac:dyDescent="0.45">
      <c r="S754" s="61"/>
      <c r="T754" s="61"/>
      <c r="U754" s="61"/>
      <c r="V754" s="61"/>
      <c r="W754" s="58"/>
    </row>
    <row r="755" spans="19:23" ht="15.75" customHeight="1" x14ac:dyDescent="0.45">
      <c r="S755" s="61"/>
      <c r="T755" s="61"/>
      <c r="U755" s="61"/>
      <c r="V755" s="61"/>
      <c r="W755" s="58"/>
    </row>
    <row r="756" spans="19:23" ht="15.75" customHeight="1" x14ac:dyDescent="0.45">
      <c r="S756" s="61"/>
      <c r="T756" s="61"/>
      <c r="U756" s="61"/>
      <c r="V756" s="61"/>
      <c r="W756" s="58"/>
    </row>
    <row r="757" spans="19:23" ht="15.75" customHeight="1" x14ac:dyDescent="0.45">
      <c r="S757" s="61"/>
      <c r="T757" s="61"/>
      <c r="U757" s="61"/>
      <c r="V757" s="61"/>
      <c r="W757" s="58"/>
    </row>
    <row r="758" spans="19:23" ht="15.75" customHeight="1" x14ac:dyDescent="0.45">
      <c r="S758" s="61"/>
      <c r="T758" s="61"/>
      <c r="U758" s="61"/>
      <c r="V758" s="61"/>
      <c r="W758" s="58"/>
    </row>
    <row r="759" spans="19:23" ht="15.75" customHeight="1" x14ac:dyDescent="0.45">
      <c r="S759" s="61"/>
      <c r="T759" s="61"/>
      <c r="U759" s="61"/>
      <c r="V759" s="61"/>
      <c r="W759" s="58"/>
    </row>
    <row r="760" spans="19:23" ht="15.75" customHeight="1" x14ac:dyDescent="0.45">
      <c r="S760" s="61"/>
      <c r="T760" s="61"/>
      <c r="U760" s="61"/>
      <c r="V760" s="61"/>
      <c r="W760" s="58"/>
    </row>
    <row r="761" spans="19:23" ht="15.75" customHeight="1" x14ac:dyDescent="0.45">
      <c r="S761" s="61"/>
      <c r="T761" s="61"/>
      <c r="U761" s="61"/>
      <c r="V761" s="61"/>
      <c r="W761" s="58"/>
    </row>
    <row r="762" spans="19:23" ht="15.75" customHeight="1" x14ac:dyDescent="0.45">
      <c r="S762" s="61"/>
      <c r="T762" s="61"/>
      <c r="U762" s="61"/>
      <c r="V762" s="61"/>
      <c r="W762" s="58"/>
    </row>
    <row r="763" spans="19:23" ht="15.75" customHeight="1" x14ac:dyDescent="0.45">
      <c r="S763" s="61"/>
      <c r="T763" s="61"/>
      <c r="U763" s="61"/>
      <c r="V763" s="61"/>
      <c r="W763" s="58"/>
    </row>
    <row r="764" spans="19:23" ht="15.75" customHeight="1" x14ac:dyDescent="0.45">
      <c r="S764" s="61"/>
      <c r="T764" s="61"/>
      <c r="U764" s="61"/>
      <c r="V764" s="61"/>
      <c r="W764" s="58"/>
    </row>
    <row r="765" spans="19:23" ht="15.75" customHeight="1" x14ac:dyDescent="0.45">
      <c r="S765" s="61"/>
      <c r="T765" s="61"/>
      <c r="U765" s="61"/>
      <c r="V765" s="61"/>
      <c r="W765" s="58"/>
    </row>
    <row r="766" spans="19:23" ht="15.75" customHeight="1" x14ac:dyDescent="0.45">
      <c r="S766" s="61"/>
      <c r="T766" s="61"/>
      <c r="U766" s="61"/>
      <c r="V766" s="61"/>
      <c r="W766" s="58"/>
    </row>
    <row r="767" spans="19:23" ht="15.75" customHeight="1" x14ac:dyDescent="0.45">
      <c r="S767" s="61"/>
      <c r="T767" s="61"/>
      <c r="U767" s="61"/>
      <c r="V767" s="61"/>
      <c r="W767" s="58"/>
    </row>
    <row r="768" spans="19:23" ht="15.75" customHeight="1" x14ac:dyDescent="0.45">
      <c r="S768" s="61"/>
      <c r="T768" s="61"/>
      <c r="U768" s="61"/>
      <c r="V768" s="61"/>
      <c r="W768" s="58"/>
    </row>
    <row r="769" spans="19:23" ht="15.75" customHeight="1" x14ac:dyDescent="0.45">
      <c r="S769" s="61"/>
      <c r="T769" s="61"/>
      <c r="U769" s="61"/>
      <c r="V769" s="61"/>
      <c r="W769" s="58"/>
    </row>
    <row r="770" spans="19:23" ht="15.75" customHeight="1" x14ac:dyDescent="0.45">
      <c r="S770" s="61"/>
      <c r="T770" s="61"/>
      <c r="U770" s="61"/>
      <c r="V770" s="61"/>
      <c r="W770" s="58"/>
    </row>
    <row r="771" spans="19:23" ht="15.75" customHeight="1" x14ac:dyDescent="0.45">
      <c r="S771" s="61"/>
      <c r="T771" s="61"/>
      <c r="U771" s="61"/>
      <c r="V771" s="61"/>
      <c r="W771" s="58"/>
    </row>
    <row r="772" spans="19:23" ht="15.75" customHeight="1" x14ac:dyDescent="0.45">
      <c r="S772" s="61"/>
      <c r="T772" s="61"/>
      <c r="U772" s="61"/>
      <c r="V772" s="61"/>
      <c r="W772" s="58"/>
    </row>
    <row r="773" spans="19:23" ht="15.75" customHeight="1" x14ac:dyDescent="0.45">
      <c r="S773" s="61"/>
      <c r="T773" s="61"/>
      <c r="U773" s="61"/>
      <c r="V773" s="61"/>
      <c r="W773" s="58"/>
    </row>
    <row r="774" spans="19:23" ht="15.75" customHeight="1" x14ac:dyDescent="0.45">
      <c r="S774" s="61"/>
      <c r="T774" s="61"/>
      <c r="U774" s="61"/>
      <c r="V774" s="61"/>
      <c r="W774" s="58"/>
    </row>
    <row r="775" spans="19:23" ht="15.75" customHeight="1" x14ac:dyDescent="0.45">
      <c r="S775" s="61"/>
      <c r="T775" s="61"/>
      <c r="U775" s="61"/>
      <c r="V775" s="61"/>
      <c r="W775" s="58"/>
    </row>
    <row r="776" spans="19:23" ht="15.75" customHeight="1" x14ac:dyDescent="0.45">
      <c r="S776" s="61"/>
      <c r="T776" s="61"/>
      <c r="U776" s="61"/>
      <c r="V776" s="61"/>
      <c r="W776" s="58"/>
    </row>
    <row r="777" spans="19:23" ht="15.75" customHeight="1" x14ac:dyDescent="0.45">
      <c r="S777" s="61"/>
      <c r="T777" s="61"/>
      <c r="U777" s="61"/>
      <c r="V777" s="61"/>
      <c r="W777" s="58"/>
    </row>
    <row r="778" spans="19:23" ht="15.75" customHeight="1" x14ac:dyDescent="0.45">
      <c r="S778" s="61"/>
      <c r="T778" s="61"/>
      <c r="U778" s="61"/>
      <c r="V778" s="61"/>
      <c r="W778" s="58"/>
    </row>
    <row r="779" spans="19:23" ht="15.75" customHeight="1" x14ac:dyDescent="0.45">
      <c r="S779" s="61"/>
      <c r="T779" s="61"/>
      <c r="U779" s="61"/>
      <c r="V779" s="61"/>
      <c r="W779" s="58"/>
    </row>
    <row r="780" spans="19:23" ht="15.75" customHeight="1" x14ac:dyDescent="0.45">
      <c r="S780" s="61"/>
      <c r="T780" s="61"/>
      <c r="U780" s="61"/>
      <c r="V780" s="61"/>
      <c r="W780" s="58"/>
    </row>
    <row r="781" spans="19:23" ht="15.75" customHeight="1" x14ac:dyDescent="0.45">
      <c r="S781" s="61"/>
      <c r="T781" s="61"/>
      <c r="U781" s="61"/>
      <c r="V781" s="61"/>
      <c r="W781" s="58"/>
    </row>
    <row r="782" spans="19:23" ht="15.75" customHeight="1" x14ac:dyDescent="0.45">
      <c r="S782" s="61"/>
      <c r="T782" s="61"/>
      <c r="U782" s="61"/>
      <c r="V782" s="61"/>
      <c r="W782" s="58"/>
    </row>
    <row r="783" spans="19:23" ht="15.75" customHeight="1" x14ac:dyDescent="0.45">
      <c r="S783" s="61"/>
      <c r="T783" s="61"/>
      <c r="U783" s="61"/>
      <c r="V783" s="61"/>
      <c r="W783" s="58"/>
    </row>
    <row r="784" spans="19:23" ht="15.75" customHeight="1" x14ac:dyDescent="0.45">
      <c r="S784" s="61"/>
      <c r="T784" s="61"/>
      <c r="U784" s="61"/>
      <c r="V784" s="61"/>
      <c r="W784" s="58"/>
    </row>
    <row r="785" spans="19:23" ht="15.75" customHeight="1" x14ac:dyDescent="0.45">
      <c r="S785" s="61"/>
      <c r="T785" s="61"/>
      <c r="U785" s="61"/>
      <c r="V785" s="61"/>
      <c r="W785" s="58"/>
    </row>
    <row r="786" spans="19:23" ht="15.75" customHeight="1" x14ac:dyDescent="0.45">
      <c r="S786" s="61"/>
      <c r="T786" s="61"/>
      <c r="U786" s="61"/>
      <c r="V786" s="61"/>
      <c r="W786" s="58"/>
    </row>
    <row r="787" spans="19:23" ht="15.75" customHeight="1" x14ac:dyDescent="0.45">
      <c r="S787" s="61"/>
      <c r="T787" s="61"/>
      <c r="U787" s="61"/>
      <c r="V787" s="61"/>
      <c r="W787" s="58"/>
    </row>
    <row r="788" spans="19:23" ht="15.75" customHeight="1" x14ac:dyDescent="0.45">
      <c r="S788" s="61"/>
      <c r="T788" s="61"/>
      <c r="U788" s="61"/>
      <c r="V788" s="61"/>
      <c r="W788" s="58"/>
    </row>
    <row r="789" spans="19:23" ht="15.75" customHeight="1" x14ac:dyDescent="0.45">
      <c r="S789" s="61"/>
      <c r="T789" s="61"/>
      <c r="U789" s="61"/>
      <c r="V789" s="61"/>
      <c r="W789" s="58"/>
    </row>
    <row r="790" spans="19:23" ht="15.75" customHeight="1" x14ac:dyDescent="0.45">
      <c r="S790" s="61"/>
      <c r="T790" s="61"/>
      <c r="U790" s="61"/>
      <c r="V790" s="61"/>
      <c r="W790" s="58"/>
    </row>
    <row r="791" spans="19:23" ht="15.75" customHeight="1" x14ac:dyDescent="0.45">
      <c r="S791" s="61"/>
      <c r="T791" s="61"/>
      <c r="U791" s="61"/>
      <c r="V791" s="61"/>
      <c r="W791" s="58"/>
    </row>
    <row r="792" spans="19:23" ht="15.75" customHeight="1" x14ac:dyDescent="0.45">
      <c r="S792" s="61"/>
      <c r="T792" s="61"/>
      <c r="U792" s="61"/>
      <c r="V792" s="61"/>
      <c r="W792" s="58"/>
    </row>
    <row r="793" spans="19:23" ht="15.75" customHeight="1" x14ac:dyDescent="0.45">
      <c r="S793" s="61"/>
      <c r="T793" s="61"/>
      <c r="U793" s="61"/>
      <c r="V793" s="61"/>
      <c r="W793" s="58"/>
    </row>
    <row r="794" spans="19:23" ht="15.75" customHeight="1" x14ac:dyDescent="0.45">
      <c r="S794" s="61"/>
      <c r="T794" s="61"/>
      <c r="U794" s="61"/>
      <c r="V794" s="61"/>
      <c r="W794" s="58"/>
    </row>
    <row r="795" spans="19:23" ht="15.75" customHeight="1" x14ac:dyDescent="0.45">
      <c r="S795" s="61"/>
      <c r="T795" s="61"/>
      <c r="U795" s="61"/>
      <c r="V795" s="61"/>
      <c r="W795" s="58"/>
    </row>
    <row r="796" spans="19:23" ht="15.75" customHeight="1" x14ac:dyDescent="0.45">
      <c r="S796" s="61"/>
      <c r="T796" s="61"/>
      <c r="U796" s="61"/>
      <c r="V796" s="61"/>
      <c r="W796" s="58"/>
    </row>
    <row r="797" spans="19:23" ht="15.75" customHeight="1" x14ac:dyDescent="0.45">
      <c r="S797" s="61"/>
      <c r="T797" s="61"/>
      <c r="U797" s="61"/>
      <c r="V797" s="61"/>
      <c r="W797" s="58"/>
    </row>
    <row r="798" spans="19:23" ht="15.75" customHeight="1" x14ac:dyDescent="0.45">
      <c r="S798" s="61"/>
      <c r="T798" s="61"/>
      <c r="U798" s="61"/>
      <c r="V798" s="61"/>
      <c r="W798" s="58"/>
    </row>
    <row r="799" spans="19:23" ht="15.75" customHeight="1" x14ac:dyDescent="0.45">
      <c r="S799" s="61"/>
      <c r="T799" s="61"/>
      <c r="U799" s="61"/>
      <c r="V799" s="61"/>
      <c r="W799" s="58"/>
    </row>
    <row r="800" spans="19:23" ht="15.75" customHeight="1" x14ac:dyDescent="0.45">
      <c r="S800" s="61"/>
      <c r="T800" s="61"/>
      <c r="U800" s="61"/>
      <c r="V800" s="61"/>
      <c r="W800" s="58"/>
    </row>
    <row r="801" spans="19:23" ht="15.75" customHeight="1" x14ac:dyDescent="0.45">
      <c r="S801" s="61"/>
      <c r="T801" s="61"/>
      <c r="U801" s="61"/>
      <c r="V801" s="61"/>
      <c r="W801" s="58"/>
    </row>
    <row r="802" spans="19:23" ht="15.75" customHeight="1" x14ac:dyDescent="0.45">
      <c r="S802" s="61"/>
      <c r="T802" s="61"/>
      <c r="U802" s="61"/>
      <c r="V802" s="61"/>
      <c r="W802" s="58"/>
    </row>
    <row r="803" spans="19:23" ht="15.75" customHeight="1" x14ac:dyDescent="0.45">
      <c r="S803" s="61"/>
      <c r="T803" s="61"/>
      <c r="U803" s="61"/>
      <c r="V803" s="61"/>
      <c r="W803" s="58"/>
    </row>
    <row r="804" spans="19:23" ht="15.75" customHeight="1" x14ac:dyDescent="0.45">
      <c r="S804" s="61"/>
      <c r="T804" s="61"/>
      <c r="U804" s="61"/>
      <c r="V804" s="61"/>
      <c r="W804" s="58"/>
    </row>
    <row r="805" spans="19:23" ht="15.75" customHeight="1" x14ac:dyDescent="0.45">
      <c r="S805" s="61"/>
      <c r="T805" s="61"/>
      <c r="U805" s="61"/>
      <c r="V805" s="61"/>
      <c r="W805" s="58"/>
    </row>
    <row r="806" spans="19:23" ht="15.75" customHeight="1" x14ac:dyDescent="0.45">
      <c r="S806" s="61"/>
      <c r="T806" s="61"/>
      <c r="U806" s="61"/>
      <c r="V806" s="61"/>
      <c r="W806" s="58"/>
    </row>
    <row r="807" spans="19:23" ht="15.75" customHeight="1" x14ac:dyDescent="0.45">
      <c r="S807" s="61"/>
      <c r="T807" s="61"/>
      <c r="U807" s="61"/>
      <c r="V807" s="61"/>
      <c r="W807" s="58"/>
    </row>
    <row r="808" spans="19:23" ht="15.75" customHeight="1" x14ac:dyDescent="0.45">
      <c r="S808" s="61"/>
      <c r="T808" s="61"/>
      <c r="U808" s="61"/>
      <c r="V808" s="61"/>
      <c r="W808" s="58"/>
    </row>
    <row r="809" spans="19:23" ht="15.75" customHeight="1" x14ac:dyDescent="0.45">
      <c r="S809" s="61"/>
      <c r="T809" s="61"/>
      <c r="U809" s="61"/>
      <c r="V809" s="61"/>
      <c r="W809" s="58"/>
    </row>
    <row r="810" spans="19:23" ht="15.75" customHeight="1" x14ac:dyDescent="0.45">
      <c r="S810" s="61"/>
      <c r="T810" s="61"/>
      <c r="U810" s="61"/>
      <c r="V810" s="61"/>
      <c r="W810" s="58"/>
    </row>
    <row r="811" spans="19:23" ht="15.75" customHeight="1" x14ac:dyDescent="0.45">
      <c r="S811" s="61"/>
      <c r="T811" s="61"/>
      <c r="U811" s="61"/>
      <c r="V811" s="61"/>
      <c r="W811" s="58"/>
    </row>
    <row r="812" spans="19:23" ht="15.75" customHeight="1" x14ac:dyDescent="0.45">
      <c r="S812" s="61"/>
      <c r="T812" s="61"/>
      <c r="U812" s="61"/>
      <c r="V812" s="61"/>
      <c r="W812" s="58"/>
    </row>
    <row r="813" spans="19:23" ht="15.75" customHeight="1" x14ac:dyDescent="0.45">
      <c r="S813" s="61"/>
      <c r="T813" s="61"/>
      <c r="U813" s="61"/>
      <c r="V813" s="61"/>
      <c r="W813" s="58"/>
    </row>
    <row r="814" spans="19:23" ht="15.75" customHeight="1" x14ac:dyDescent="0.45">
      <c r="S814" s="61"/>
      <c r="T814" s="61"/>
      <c r="U814" s="61"/>
      <c r="V814" s="61"/>
      <c r="W814" s="58"/>
    </row>
    <row r="815" spans="19:23" ht="15.75" customHeight="1" x14ac:dyDescent="0.45">
      <c r="S815" s="61"/>
      <c r="T815" s="61"/>
      <c r="U815" s="61"/>
      <c r="V815" s="61"/>
      <c r="W815" s="58"/>
    </row>
    <row r="816" spans="19:23" ht="15.75" customHeight="1" x14ac:dyDescent="0.45">
      <c r="S816" s="61"/>
      <c r="T816" s="61"/>
      <c r="U816" s="61"/>
      <c r="V816" s="61"/>
      <c r="W816" s="58"/>
    </row>
    <row r="817" spans="19:23" ht="15.75" customHeight="1" x14ac:dyDescent="0.45">
      <c r="S817" s="61"/>
      <c r="T817" s="61"/>
      <c r="U817" s="61"/>
      <c r="V817" s="61"/>
      <c r="W817" s="58"/>
    </row>
    <row r="818" spans="19:23" ht="15.75" customHeight="1" x14ac:dyDescent="0.45">
      <c r="S818" s="61"/>
      <c r="T818" s="61"/>
      <c r="U818" s="61"/>
      <c r="V818" s="61"/>
      <c r="W818" s="58"/>
    </row>
    <row r="819" spans="19:23" ht="15.75" customHeight="1" x14ac:dyDescent="0.45">
      <c r="S819" s="61"/>
      <c r="T819" s="61"/>
      <c r="U819" s="61"/>
      <c r="V819" s="61"/>
      <c r="W819" s="58"/>
    </row>
    <row r="820" spans="19:23" ht="15.75" customHeight="1" x14ac:dyDescent="0.45">
      <c r="S820" s="61"/>
      <c r="T820" s="61"/>
      <c r="U820" s="61"/>
      <c r="V820" s="61"/>
      <c r="W820" s="58"/>
    </row>
    <row r="821" spans="19:23" ht="15.75" customHeight="1" x14ac:dyDescent="0.45">
      <c r="S821" s="61"/>
      <c r="T821" s="61"/>
      <c r="U821" s="61"/>
      <c r="V821" s="61"/>
      <c r="W821" s="58"/>
    </row>
    <row r="822" spans="19:23" ht="15.75" customHeight="1" x14ac:dyDescent="0.45">
      <c r="S822" s="61"/>
      <c r="T822" s="61"/>
      <c r="U822" s="61"/>
      <c r="V822" s="61"/>
      <c r="W822" s="58"/>
    </row>
    <row r="823" spans="19:23" ht="15.75" customHeight="1" x14ac:dyDescent="0.45">
      <c r="S823" s="61"/>
      <c r="T823" s="61"/>
      <c r="U823" s="61"/>
      <c r="V823" s="61"/>
      <c r="W823" s="58"/>
    </row>
    <row r="824" spans="19:23" ht="15.75" customHeight="1" x14ac:dyDescent="0.45">
      <c r="S824" s="61"/>
      <c r="T824" s="61"/>
      <c r="U824" s="61"/>
      <c r="V824" s="61"/>
      <c r="W824" s="58"/>
    </row>
    <row r="825" spans="19:23" ht="15.75" customHeight="1" x14ac:dyDescent="0.45">
      <c r="S825" s="61"/>
      <c r="T825" s="61"/>
      <c r="U825" s="61"/>
      <c r="V825" s="61"/>
      <c r="W825" s="58"/>
    </row>
    <row r="826" spans="19:23" ht="15.75" customHeight="1" x14ac:dyDescent="0.45">
      <c r="S826" s="61"/>
      <c r="T826" s="61"/>
      <c r="U826" s="61"/>
      <c r="V826" s="61"/>
      <c r="W826" s="58"/>
    </row>
    <row r="827" spans="19:23" ht="15.75" customHeight="1" x14ac:dyDescent="0.45">
      <c r="S827" s="61"/>
      <c r="T827" s="61"/>
      <c r="U827" s="61"/>
      <c r="V827" s="61"/>
      <c r="W827" s="58"/>
    </row>
    <row r="828" spans="19:23" ht="15.75" customHeight="1" x14ac:dyDescent="0.45">
      <c r="S828" s="61"/>
      <c r="T828" s="61"/>
      <c r="U828" s="61"/>
      <c r="V828" s="61"/>
      <c r="W828" s="58"/>
    </row>
    <row r="829" spans="19:23" ht="15.75" customHeight="1" x14ac:dyDescent="0.45">
      <c r="S829" s="61"/>
      <c r="T829" s="61"/>
      <c r="U829" s="61"/>
      <c r="V829" s="61"/>
      <c r="W829" s="58"/>
    </row>
    <row r="830" spans="19:23" ht="15.75" customHeight="1" x14ac:dyDescent="0.45">
      <c r="S830" s="61"/>
      <c r="T830" s="61"/>
      <c r="U830" s="61"/>
      <c r="V830" s="61"/>
      <c r="W830" s="58"/>
    </row>
    <row r="831" spans="19:23" ht="15.75" customHeight="1" x14ac:dyDescent="0.45">
      <c r="S831" s="61"/>
      <c r="T831" s="61"/>
      <c r="U831" s="61"/>
      <c r="V831" s="61"/>
      <c r="W831" s="58"/>
    </row>
    <row r="832" spans="19:23" ht="15.75" customHeight="1" x14ac:dyDescent="0.45">
      <c r="S832" s="61"/>
      <c r="T832" s="61"/>
      <c r="U832" s="61"/>
      <c r="V832" s="61"/>
      <c r="W832" s="58"/>
    </row>
    <row r="833" spans="19:23" ht="15.75" customHeight="1" x14ac:dyDescent="0.45">
      <c r="S833" s="61"/>
      <c r="T833" s="61"/>
      <c r="U833" s="61"/>
      <c r="V833" s="61"/>
      <c r="W833" s="58"/>
    </row>
    <row r="834" spans="19:23" ht="15.75" customHeight="1" x14ac:dyDescent="0.45">
      <c r="S834" s="61"/>
      <c r="T834" s="61"/>
      <c r="U834" s="61"/>
      <c r="V834" s="61"/>
      <c r="W834" s="58"/>
    </row>
    <row r="835" spans="19:23" ht="15.75" customHeight="1" x14ac:dyDescent="0.45">
      <c r="S835" s="61"/>
      <c r="T835" s="61"/>
      <c r="U835" s="61"/>
      <c r="V835" s="61"/>
      <c r="W835" s="58"/>
    </row>
    <row r="836" spans="19:23" ht="15.75" customHeight="1" x14ac:dyDescent="0.45">
      <c r="S836" s="61"/>
      <c r="T836" s="61"/>
      <c r="U836" s="61"/>
      <c r="V836" s="61"/>
      <c r="W836" s="58"/>
    </row>
    <row r="837" spans="19:23" ht="15.75" customHeight="1" x14ac:dyDescent="0.45">
      <c r="S837" s="61"/>
      <c r="T837" s="61"/>
      <c r="U837" s="61"/>
      <c r="V837" s="61"/>
      <c r="W837" s="58"/>
    </row>
    <row r="838" spans="19:23" ht="15.75" customHeight="1" x14ac:dyDescent="0.45">
      <c r="S838" s="61"/>
      <c r="T838" s="61"/>
      <c r="U838" s="61"/>
      <c r="V838" s="61"/>
      <c r="W838" s="58"/>
    </row>
    <row r="839" spans="19:23" ht="15.75" customHeight="1" x14ac:dyDescent="0.45">
      <c r="S839" s="61"/>
      <c r="T839" s="61"/>
      <c r="U839" s="61"/>
      <c r="V839" s="61"/>
      <c r="W839" s="58"/>
    </row>
    <row r="840" spans="19:23" ht="15.75" customHeight="1" x14ac:dyDescent="0.45">
      <c r="S840" s="61"/>
      <c r="T840" s="61"/>
      <c r="U840" s="61"/>
      <c r="V840" s="61"/>
      <c r="W840" s="58"/>
    </row>
    <row r="841" spans="19:23" ht="15.75" customHeight="1" x14ac:dyDescent="0.45">
      <c r="S841" s="61"/>
      <c r="T841" s="61"/>
      <c r="U841" s="61"/>
      <c r="V841" s="61"/>
      <c r="W841" s="58"/>
    </row>
    <row r="842" spans="19:23" ht="15.75" customHeight="1" x14ac:dyDescent="0.45">
      <c r="S842" s="61"/>
      <c r="T842" s="61"/>
      <c r="U842" s="61"/>
      <c r="V842" s="61"/>
      <c r="W842" s="58"/>
    </row>
    <row r="843" spans="19:23" ht="15.75" customHeight="1" x14ac:dyDescent="0.45">
      <c r="S843" s="61"/>
      <c r="T843" s="61"/>
      <c r="U843" s="61"/>
      <c r="V843" s="61"/>
      <c r="W843" s="58"/>
    </row>
    <row r="844" spans="19:23" ht="15.75" customHeight="1" x14ac:dyDescent="0.45">
      <c r="S844" s="61"/>
      <c r="T844" s="61"/>
      <c r="U844" s="61"/>
      <c r="V844" s="61"/>
      <c r="W844" s="58"/>
    </row>
    <row r="845" spans="19:23" ht="15.75" customHeight="1" x14ac:dyDescent="0.45">
      <c r="S845" s="61"/>
      <c r="T845" s="61"/>
      <c r="U845" s="61"/>
      <c r="V845" s="61"/>
      <c r="W845" s="58"/>
    </row>
    <row r="846" spans="19:23" ht="15.75" customHeight="1" x14ac:dyDescent="0.45">
      <c r="S846" s="61"/>
      <c r="T846" s="61"/>
      <c r="U846" s="61"/>
      <c r="V846" s="61"/>
      <c r="W846" s="58"/>
    </row>
    <row r="847" spans="19:23" ht="15.75" customHeight="1" x14ac:dyDescent="0.45">
      <c r="S847" s="61"/>
      <c r="T847" s="61"/>
      <c r="U847" s="61"/>
      <c r="V847" s="61"/>
      <c r="W847" s="58"/>
    </row>
    <row r="848" spans="19:23" ht="15.75" customHeight="1" x14ac:dyDescent="0.45">
      <c r="S848" s="61"/>
      <c r="T848" s="61"/>
      <c r="U848" s="61"/>
      <c r="V848" s="61"/>
      <c r="W848" s="58"/>
    </row>
    <row r="849" spans="19:23" ht="15.75" customHeight="1" x14ac:dyDescent="0.45">
      <c r="S849" s="61"/>
      <c r="T849" s="61"/>
      <c r="U849" s="61"/>
      <c r="V849" s="61"/>
      <c r="W849" s="58"/>
    </row>
    <row r="850" spans="19:23" ht="15.75" customHeight="1" x14ac:dyDescent="0.45">
      <c r="S850" s="61"/>
      <c r="T850" s="61"/>
      <c r="U850" s="61"/>
      <c r="V850" s="61"/>
      <c r="W850" s="58"/>
    </row>
    <row r="851" spans="19:23" ht="15.75" customHeight="1" x14ac:dyDescent="0.45">
      <c r="S851" s="61"/>
      <c r="T851" s="61"/>
      <c r="U851" s="61"/>
      <c r="V851" s="61"/>
      <c r="W851" s="58"/>
    </row>
    <row r="852" spans="19:23" ht="15.75" customHeight="1" x14ac:dyDescent="0.45">
      <c r="S852" s="61"/>
      <c r="T852" s="61"/>
      <c r="U852" s="61"/>
      <c r="V852" s="61"/>
      <c r="W852" s="58"/>
    </row>
    <row r="853" spans="19:23" ht="15.75" customHeight="1" x14ac:dyDescent="0.45">
      <c r="S853" s="61"/>
      <c r="T853" s="61"/>
      <c r="U853" s="61"/>
      <c r="V853" s="61"/>
      <c r="W853" s="58"/>
    </row>
    <row r="854" spans="19:23" ht="15.75" customHeight="1" x14ac:dyDescent="0.45">
      <c r="S854" s="61"/>
      <c r="T854" s="61"/>
      <c r="U854" s="61"/>
      <c r="V854" s="61"/>
      <c r="W854" s="58"/>
    </row>
    <row r="855" spans="19:23" ht="15.75" customHeight="1" x14ac:dyDescent="0.45">
      <c r="S855" s="61"/>
      <c r="T855" s="61"/>
      <c r="U855" s="61"/>
      <c r="V855" s="61"/>
      <c r="W855" s="58"/>
    </row>
    <row r="856" spans="19:23" ht="15.75" customHeight="1" x14ac:dyDescent="0.45">
      <c r="S856" s="61"/>
      <c r="T856" s="61"/>
      <c r="U856" s="61"/>
      <c r="V856" s="61"/>
      <c r="W856" s="58"/>
    </row>
    <row r="857" spans="19:23" ht="15.75" customHeight="1" x14ac:dyDescent="0.45">
      <c r="S857" s="61"/>
      <c r="T857" s="61"/>
      <c r="U857" s="61"/>
      <c r="V857" s="61"/>
      <c r="W857" s="58"/>
    </row>
    <row r="858" spans="19:23" ht="15.75" customHeight="1" x14ac:dyDescent="0.45">
      <c r="S858" s="61"/>
      <c r="T858" s="61"/>
      <c r="U858" s="61"/>
      <c r="V858" s="61"/>
      <c r="W858" s="58"/>
    </row>
    <row r="859" spans="19:23" ht="15.75" customHeight="1" x14ac:dyDescent="0.45">
      <c r="S859" s="61"/>
      <c r="T859" s="61"/>
      <c r="U859" s="61"/>
      <c r="V859" s="61"/>
      <c r="W859" s="58"/>
    </row>
    <row r="860" spans="19:23" ht="15.75" customHeight="1" x14ac:dyDescent="0.45">
      <c r="S860" s="61"/>
      <c r="T860" s="61"/>
      <c r="U860" s="61"/>
      <c r="V860" s="61"/>
      <c r="W860" s="58"/>
    </row>
    <row r="861" spans="19:23" ht="15.75" customHeight="1" x14ac:dyDescent="0.45">
      <c r="S861" s="61"/>
      <c r="T861" s="61"/>
      <c r="U861" s="61"/>
      <c r="V861" s="61"/>
      <c r="W861" s="58"/>
    </row>
    <row r="862" spans="19:23" ht="15.75" customHeight="1" x14ac:dyDescent="0.45">
      <c r="S862" s="61"/>
      <c r="T862" s="61"/>
      <c r="U862" s="61"/>
      <c r="V862" s="61"/>
      <c r="W862" s="58"/>
    </row>
    <row r="863" spans="19:23" ht="15.75" customHeight="1" x14ac:dyDescent="0.45">
      <c r="S863" s="61"/>
      <c r="T863" s="61"/>
      <c r="U863" s="61"/>
      <c r="V863" s="61"/>
      <c r="W863" s="58"/>
    </row>
    <row r="864" spans="19:23" ht="15.75" customHeight="1" x14ac:dyDescent="0.45">
      <c r="S864" s="61"/>
      <c r="T864" s="61"/>
      <c r="U864" s="61"/>
      <c r="V864" s="61"/>
      <c r="W864" s="58"/>
    </row>
    <row r="865" spans="19:23" ht="15.75" customHeight="1" x14ac:dyDescent="0.45">
      <c r="S865" s="61"/>
      <c r="T865" s="61"/>
      <c r="U865" s="61"/>
      <c r="V865" s="61"/>
      <c r="W865" s="58"/>
    </row>
    <row r="866" spans="19:23" ht="15.75" customHeight="1" x14ac:dyDescent="0.45">
      <c r="S866" s="61"/>
      <c r="T866" s="61"/>
      <c r="U866" s="61"/>
      <c r="V866" s="61"/>
      <c r="W866" s="58"/>
    </row>
    <row r="867" spans="19:23" ht="15.75" customHeight="1" x14ac:dyDescent="0.45">
      <c r="S867" s="61"/>
      <c r="T867" s="61"/>
      <c r="U867" s="61"/>
      <c r="V867" s="61"/>
      <c r="W867" s="58"/>
    </row>
    <row r="868" spans="19:23" ht="15.75" customHeight="1" x14ac:dyDescent="0.45">
      <c r="S868" s="61"/>
      <c r="T868" s="61"/>
      <c r="U868" s="61"/>
      <c r="V868" s="61"/>
      <c r="W868" s="58"/>
    </row>
    <row r="869" spans="19:23" ht="15.75" customHeight="1" x14ac:dyDescent="0.45">
      <c r="S869" s="61"/>
      <c r="T869" s="61"/>
      <c r="U869" s="61"/>
      <c r="V869" s="61"/>
      <c r="W869" s="58"/>
    </row>
    <row r="870" spans="19:23" ht="15.75" customHeight="1" x14ac:dyDescent="0.45">
      <c r="S870" s="61"/>
      <c r="T870" s="61"/>
      <c r="U870" s="61"/>
      <c r="V870" s="61"/>
      <c r="W870" s="58"/>
    </row>
    <row r="871" spans="19:23" ht="15.75" customHeight="1" x14ac:dyDescent="0.45">
      <c r="S871" s="61"/>
      <c r="T871" s="61"/>
      <c r="U871" s="61"/>
      <c r="V871" s="61"/>
      <c r="W871" s="58"/>
    </row>
    <row r="872" spans="19:23" ht="15.75" customHeight="1" x14ac:dyDescent="0.45">
      <c r="S872" s="61"/>
      <c r="T872" s="61"/>
      <c r="U872" s="61"/>
      <c r="V872" s="61"/>
      <c r="W872" s="58"/>
    </row>
    <row r="873" spans="19:23" ht="15.75" customHeight="1" x14ac:dyDescent="0.45">
      <c r="S873" s="61"/>
      <c r="T873" s="61"/>
      <c r="U873" s="61"/>
      <c r="V873" s="61"/>
      <c r="W873" s="58"/>
    </row>
    <row r="874" spans="19:23" ht="15.75" customHeight="1" x14ac:dyDescent="0.45">
      <c r="S874" s="61"/>
      <c r="T874" s="61"/>
      <c r="U874" s="61"/>
      <c r="V874" s="61"/>
      <c r="W874" s="58"/>
    </row>
    <row r="875" spans="19:23" ht="15.75" customHeight="1" x14ac:dyDescent="0.45">
      <c r="S875" s="61"/>
      <c r="T875" s="61"/>
      <c r="U875" s="61"/>
      <c r="V875" s="61"/>
      <c r="W875" s="58"/>
    </row>
    <row r="876" spans="19:23" ht="15.75" customHeight="1" x14ac:dyDescent="0.45">
      <c r="S876" s="61"/>
      <c r="T876" s="61"/>
      <c r="U876" s="61"/>
      <c r="V876" s="61"/>
      <c r="W876" s="58"/>
    </row>
    <row r="877" spans="19:23" ht="15.75" customHeight="1" x14ac:dyDescent="0.45">
      <c r="S877" s="61"/>
      <c r="T877" s="61"/>
      <c r="U877" s="61"/>
      <c r="V877" s="61"/>
      <c r="W877" s="58"/>
    </row>
    <row r="878" spans="19:23" ht="15.75" customHeight="1" x14ac:dyDescent="0.45">
      <c r="S878" s="61"/>
      <c r="T878" s="61"/>
      <c r="U878" s="61"/>
      <c r="V878" s="61"/>
      <c r="W878" s="58"/>
    </row>
    <row r="879" spans="19:23" ht="15.75" customHeight="1" x14ac:dyDescent="0.45">
      <c r="S879" s="61"/>
      <c r="T879" s="61"/>
      <c r="U879" s="61"/>
      <c r="V879" s="61"/>
      <c r="W879" s="58"/>
    </row>
    <row r="880" spans="19:23" ht="15.75" customHeight="1" x14ac:dyDescent="0.45">
      <c r="S880" s="61"/>
      <c r="T880" s="61"/>
      <c r="U880" s="61"/>
      <c r="V880" s="61"/>
      <c r="W880" s="58"/>
    </row>
    <row r="881" spans="19:23" ht="15.75" customHeight="1" x14ac:dyDescent="0.45">
      <c r="S881" s="61"/>
      <c r="T881" s="61"/>
      <c r="U881" s="61"/>
      <c r="V881" s="61"/>
      <c r="W881" s="58"/>
    </row>
    <row r="882" spans="19:23" ht="15.75" customHeight="1" x14ac:dyDescent="0.45">
      <c r="S882" s="61"/>
      <c r="T882" s="61"/>
      <c r="U882" s="61"/>
      <c r="V882" s="61"/>
      <c r="W882" s="58"/>
    </row>
    <row r="883" spans="19:23" ht="15.75" customHeight="1" x14ac:dyDescent="0.45">
      <c r="S883" s="61"/>
      <c r="T883" s="61"/>
      <c r="U883" s="61"/>
      <c r="V883" s="61"/>
      <c r="W883" s="58"/>
    </row>
    <row r="884" spans="19:23" ht="15.75" customHeight="1" x14ac:dyDescent="0.45">
      <c r="S884" s="61"/>
      <c r="T884" s="61"/>
      <c r="U884" s="61"/>
      <c r="V884" s="61"/>
      <c r="W884" s="58"/>
    </row>
    <row r="885" spans="19:23" ht="15.75" customHeight="1" x14ac:dyDescent="0.45">
      <c r="S885" s="61"/>
      <c r="T885" s="61"/>
      <c r="U885" s="61"/>
      <c r="V885" s="61"/>
      <c r="W885" s="58"/>
    </row>
    <row r="886" spans="19:23" ht="15.75" customHeight="1" x14ac:dyDescent="0.45">
      <c r="S886" s="61"/>
      <c r="T886" s="61"/>
      <c r="U886" s="61"/>
      <c r="V886" s="61"/>
      <c r="W886" s="58"/>
    </row>
    <row r="887" spans="19:23" ht="15.75" customHeight="1" x14ac:dyDescent="0.45">
      <c r="S887" s="61"/>
      <c r="T887" s="61"/>
      <c r="U887" s="61"/>
      <c r="V887" s="61"/>
      <c r="W887" s="58"/>
    </row>
    <row r="888" spans="19:23" ht="15.75" customHeight="1" x14ac:dyDescent="0.45">
      <c r="S888" s="61"/>
      <c r="T888" s="61"/>
      <c r="U888" s="61"/>
      <c r="V888" s="61"/>
      <c r="W888" s="58"/>
    </row>
    <row r="889" spans="19:23" ht="15.75" customHeight="1" x14ac:dyDescent="0.45">
      <c r="S889" s="61"/>
      <c r="T889" s="61"/>
      <c r="U889" s="61"/>
      <c r="V889" s="61"/>
      <c r="W889" s="58"/>
    </row>
    <row r="890" spans="19:23" ht="15.75" customHeight="1" x14ac:dyDescent="0.45">
      <c r="S890" s="61"/>
      <c r="T890" s="61"/>
      <c r="U890" s="61"/>
      <c r="V890" s="61"/>
      <c r="W890" s="58"/>
    </row>
    <row r="891" spans="19:23" ht="15.75" customHeight="1" x14ac:dyDescent="0.45">
      <c r="S891" s="61"/>
      <c r="T891" s="61"/>
      <c r="U891" s="61"/>
      <c r="V891" s="61"/>
      <c r="W891" s="58"/>
    </row>
    <row r="892" spans="19:23" ht="15.75" customHeight="1" x14ac:dyDescent="0.45">
      <c r="S892" s="61"/>
      <c r="T892" s="61"/>
      <c r="U892" s="61"/>
      <c r="V892" s="61"/>
      <c r="W892" s="58"/>
    </row>
    <row r="893" spans="19:23" ht="15.75" customHeight="1" x14ac:dyDescent="0.45">
      <c r="S893" s="61"/>
      <c r="T893" s="61"/>
      <c r="U893" s="61"/>
      <c r="V893" s="61"/>
      <c r="W893" s="58"/>
    </row>
    <row r="894" spans="19:23" ht="15.75" customHeight="1" x14ac:dyDescent="0.45">
      <c r="S894" s="61"/>
      <c r="T894" s="61"/>
      <c r="U894" s="61"/>
      <c r="V894" s="61"/>
      <c r="W894" s="58"/>
    </row>
    <row r="895" spans="19:23" ht="15.75" customHeight="1" x14ac:dyDescent="0.45">
      <c r="S895" s="61"/>
      <c r="T895" s="61"/>
      <c r="U895" s="61"/>
      <c r="V895" s="61"/>
      <c r="W895" s="58"/>
    </row>
    <row r="896" spans="19:23" ht="15.75" customHeight="1" x14ac:dyDescent="0.45">
      <c r="S896" s="61"/>
      <c r="T896" s="61"/>
      <c r="U896" s="61"/>
      <c r="V896" s="61"/>
      <c r="W896" s="58"/>
    </row>
    <row r="897" spans="19:23" ht="15.75" customHeight="1" x14ac:dyDescent="0.45">
      <c r="S897" s="61"/>
      <c r="T897" s="61"/>
      <c r="U897" s="61"/>
      <c r="V897" s="61"/>
      <c r="W897" s="58"/>
    </row>
    <row r="898" spans="19:23" ht="15.75" customHeight="1" x14ac:dyDescent="0.45">
      <c r="S898" s="61"/>
      <c r="T898" s="61"/>
      <c r="U898" s="61"/>
      <c r="V898" s="61"/>
      <c r="W898" s="58"/>
    </row>
    <row r="899" spans="19:23" ht="15.75" customHeight="1" x14ac:dyDescent="0.45">
      <c r="S899" s="61"/>
      <c r="T899" s="61"/>
      <c r="U899" s="61"/>
      <c r="V899" s="61"/>
      <c r="W899" s="58"/>
    </row>
    <row r="900" spans="19:23" ht="15.75" customHeight="1" x14ac:dyDescent="0.45">
      <c r="S900" s="61"/>
      <c r="T900" s="61"/>
      <c r="U900" s="61"/>
      <c r="V900" s="61"/>
      <c r="W900" s="58"/>
    </row>
    <row r="901" spans="19:23" ht="15.75" customHeight="1" x14ac:dyDescent="0.45">
      <c r="S901" s="61"/>
      <c r="T901" s="61"/>
      <c r="U901" s="61"/>
      <c r="V901" s="61"/>
      <c r="W901" s="58"/>
    </row>
    <row r="902" spans="19:23" ht="15.75" customHeight="1" x14ac:dyDescent="0.45">
      <c r="S902" s="61"/>
      <c r="T902" s="61"/>
      <c r="U902" s="61"/>
      <c r="V902" s="61"/>
      <c r="W902" s="58"/>
    </row>
    <row r="903" spans="19:23" ht="15.75" customHeight="1" x14ac:dyDescent="0.45">
      <c r="S903" s="61"/>
      <c r="T903" s="61"/>
      <c r="U903" s="61"/>
      <c r="V903" s="61"/>
      <c r="W903" s="58"/>
    </row>
    <row r="904" spans="19:23" ht="15.75" customHeight="1" x14ac:dyDescent="0.45">
      <c r="S904" s="61"/>
      <c r="T904" s="61"/>
      <c r="U904" s="61"/>
      <c r="V904" s="61"/>
      <c r="W904" s="58"/>
    </row>
    <row r="905" spans="19:23" ht="15.75" customHeight="1" x14ac:dyDescent="0.45">
      <c r="S905" s="61"/>
      <c r="T905" s="61"/>
      <c r="U905" s="61"/>
      <c r="V905" s="61"/>
      <c r="W905" s="58"/>
    </row>
    <row r="906" spans="19:23" ht="15.75" customHeight="1" x14ac:dyDescent="0.45">
      <c r="S906" s="61"/>
      <c r="T906" s="61"/>
      <c r="U906" s="61"/>
      <c r="V906" s="61"/>
      <c r="W906" s="58"/>
    </row>
    <row r="907" spans="19:23" ht="15.75" customHeight="1" x14ac:dyDescent="0.45">
      <c r="S907" s="61"/>
      <c r="T907" s="61"/>
      <c r="U907" s="61"/>
      <c r="V907" s="61"/>
      <c r="W907" s="58"/>
    </row>
    <row r="908" spans="19:23" ht="15.75" customHeight="1" x14ac:dyDescent="0.45">
      <c r="S908" s="61"/>
      <c r="T908" s="61"/>
      <c r="U908" s="61"/>
      <c r="V908" s="61"/>
      <c r="W908" s="58"/>
    </row>
    <row r="909" spans="19:23" ht="15.75" customHeight="1" x14ac:dyDescent="0.45">
      <c r="S909" s="61"/>
      <c r="T909" s="61"/>
      <c r="U909" s="61"/>
      <c r="V909" s="61"/>
      <c r="W909" s="58"/>
    </row>
    <row r="910" spans="19:23" ht="15.75" customHeight="1" x14ac:dyDescent="0.45">
      <c r="S910" s="61"/>
      <c r="T910" s="61"/>
      <c r="U910" s="61"/>
      <c r="V910" s="61"/>
      <c r="W910" s="58"/>
    </row>
    <row r="911" spans="19:23" ht="15.75" customHeight="1" x14ac:dyDescent="0.45">
      <c r="S911" s="61"/>
      <c r="T911" s="61"/>
      <c r="U911" s="61"/>
      <c r="V911" s="61"/>
      <c r="W911" s="58"/>
    </row>
    <row r="912" spans="19:23" ht="15.75" customHeight="1" x14ac:dyDescent="0.45">
      <c r="S912" s="61"/>
      <c r="T912" s="61"/>
      <c r="U912" s="61"/>
      <c r="V912" s="61"/>
      <c r="W912" s="58"/>
    </row>
    <row r="913" spans="19:23" ht="15.75" customHeight="1" x14ac:dyDescent="0.45">
      <c r="S913" s="61"/>
      <c r="T913" s="61"/>
      <c r="U913" s="61"/>
      <c r="V913" s="61"/>
      <c r="W913" s="58"/>
    </row>
    <row r="914" spans="19:23" ht="15.75" customHeight="1" x14ac:dyDescent="0.45">
      <c r="S914" s="61"/>
      <c r="T914" s="61"/>
      <c r="U914" s="61"/>
      <c r="V914" s="61"/>
      <c r="W914" s="58"/>
    </row>
    <row r="915" spans="19:23" ht="15.75" customHeight="1" x14ac:dyDescent="0.45">
      <c r="S915" s="61"/>
      <c r="T915" s="61"/>
      <c r="U915" s="61"/>
      <c r="V915" s="61"/>
      <c r="W915" s="58"/>
    </row>
    <row r="916" spans="19:23" ht="15.75" customHeight="1" x14ac:dyDescent="0.45">
      <c r="S916" s="61"/>
      <c r="T916" s="61"/>
      <c r="U916" s="61"/>
      <c r="V916" s="61"/>
      <c r="W916" s="58"/>
    </row>
    <row r="917" spans="19:23" ht="15.75" customHeight="1" x14ac:dyDescent="0.45">
      <c r="S917" s="61"/>
      <c r="T917" s="61"/>
      <c r="U917" s="61"/>
      <c r="V917" s="61"/>
      <c r="W917" s="58"/>
    </row>
    <row r="918" spans="19:23" ht="15.75" customHeight="1" x14ac:dyDescent="0.45">
      <c r="S918" s="61"/>
      <c r="T918" s="61"/>
      <c r="U918" s="61"/>
      <c r="V918" s="61"/>
      <c r="W918" s="58"/>
    </row>
    <row r="919" spans="19:23" ht="15.75" customHeight="1" x14ac:dyDescent="0.45">
      <c r="S919" s="61"/>
      <c r="T919" s="61"/>
      <c r="U919" s="61"/>
      <c r="V919" s="61"/>
      <c r="W919" s="58"/>
    </row>
    <row r="920" spans="19:23" ht="15.75" customHeight="1" x14ac:dyDescent="0.45">
      <c r="S920" s="61"/>
      <c r="T920" s="61"/>
      <c r="U920" s="61"/>
      <c r="V920" s="61"/>
      <c r="W920" s="58"/>
    </row>
    <row r="921" spans="19:23" ht="15.75" customHeight="1" x14ac:dyDescent="0.45">
      <c r="S921" s="61"/>
      <c r="T921" s="61"/>
      <c r="U921" s="61"/>
      <c r="V921" s="61"/>
      <c r="W921" s="58"/>
    </row>
    <row r="922" spans="19:23" ht="15.75" customHeight="1" x14ac:dyDescent="0.45">
      <c r="S922" s="61"/>
      <c r="T922" s="61"/>
      <c r="U922" s="61"/>
      <c r="V922" s="61"/>
      <c r="W922" s="58"/>
    </row>
    <row r="923" spans="19:23" ht="15.75" customHeight="1" x14ac:dyDescent="0.45">
      <c r="S923" s="61"/>
      <c r="T923" s="61"/>
      <c r="U923" s="61"/>
      <c r="V923" s="61"/>
      <c r="W923" s="58"/>
    </row>
    <row r="924" spans="19:23" ht="15.75" customHeight="1" x14ac:dyDescent="0.45">
      <c r="S924" s="61"/>
      <c r="T924" s="61"/>
      <c r="U924" s="61"/>
      <c r="V924" s="61"/>
      <c r="W924" s="58"/>
    </row>
    <row r="925" spans="19:23" ht="15.75" customHeight="1" x14ac:dyDescent="0.45">
      <c r="S925" s="61"/>
      <c r="T925" s="61"/>
      <c r="U925" s="61"/>
      <c r="V925" s="61"/>
      <c r="W925" s="58"/>
    </row>
    <row r="926" spans="19:23" ht="15.75" customHeight="1" x14ac:dyDescent="0.45">
      <c r="S926" s="61"/>
      <c r="T926" s="61"/>
      <c r="U926" s="61"/>
      <c r="V926" s="61"/>
      <c r="W926" s="58"/>
    </row>
    <row r="927" spans="19:23" ht="15.75" customHeight="1" x14ac:dyDescent="0.45">
      <c r="S927" s="61"/>
      <c r="T927" s="61"/>
      <c r="U927" s="61"/>
      <c r="V927" s="61"/>
      <c r="W927" s="58"/>
    </row>
    <row r="928" spans="19:23" ht="15.75" customHeight="1" x14ac:dyDescent="0.45">
      <c r="S928" s="61"/>
      <c r="T928" s="61"/>
      <c r="U928" s="61"/>
      <c r="V928" s="61"/>
      <c r="W928" s="58"/>
    </row>
    <row r="929" spans="19:23" ht="15.75" customHeight="1" x14ac:dyDescent="0.45">
      <c r="S929" s="61"/>
      <c r="T929" s="61"/>
      <c r="U929" s="61"/>
      <c r="V929" s="61"/>
      <c r="W929" s="58"/>
    </row>
    <row r="930" spans="19:23" ht="15.75" customHeight="1" x14ac:dyDescent="0.45">
      <c r="S930" s="61"/>
      <c r="T930" s="61"/>
      <c r="U930" s="61"/>
      <c r="V930" s="61"/>
      <c r="W930" s="58"/>
    </row>
    <row r="931" spans="19:23" ht="15.75" customHeight="1" x14ac:dyDescent="0.45">
      <c r="S931" s="61"/>
      <c r="T931" s="61"/>
      <c r="U931" s="61"/>
      <c r="V931" s="61"/>
      <c r="W931" s="58"/>
    </row>
    <row r="932" spans="19:23" ht="15.75" customHeight="1" x14ac:dyDescent="0.45">
      <c r="S932" s="61"/>
      <c r="T932" s="61"/>
      <c r="U932" s="61"/>
      <c r="V932" s="61"/>
      <c r="W932" s="58"/>
    </row>
    <row r="933" spans="19:23" ht="15.75" customHeight="1" x14ac:dyDescent="0.45">
      <c r="S933" s="61"/>
      <c r="T933" s="61"/>
      <c r="U933" s="61"/>
      <c r="V933" s="61"/>
      <c r="W933" s="58"/>
    </row>
    <row r="934" spans="19:23" ht="15.75" customHeight="1" x14ac:dyDescent="0.45">
      <c r="S934" s="61"/>
      <c r="T934" s="61"/>
      <c r="U934" s="61"/>
      <c r="V934" s="61"/>
      <c r="W934" s="58"/>
    </row>
    <row r="935" spans="19:23" ht="15.75" customHeight="1" x14ac:dyDescent="0.45">
      <c r="S935" s="61"/>
      <c r="T935" s="61"/>
      <c r="U935" s="61"/>
      <c r="V935" s="61"/>
      <c r="W935" s="58"/>
    </row>
    <row r="936" spans="19:23" ht="15.75" customHeight="1" x14ac:dyDescent="0.45">
      <c r="S936" s="61"/>
      <c r="T936" s="61"/>
      <c r="U936" s="61"/>
      <c r="V936" s="61"/>
      <c r="W936" s="58"/>
    </row>
    <row r="937" spans="19:23" ht="15.75" customHeight="1" x14ac:dyDescent="0.45">
      <c r="S937" s="61"/>
      <c r="T937" s="61"/>
      <c r="U937" s="61"/>
      <c r="V937" s="61"/>
      <c r="W937" s="58"/>
    </row>
    <row r="938" spans="19:23" ht="15.75" customHeight="1" x14ac:dyDescent="0.45">
      <c r="S938" s="61"/>
      <c r="T938" s="61"/>
      <c r="U938" s="61"/>
      <c r="V938" s="61"/>
      <c r="W938" s="58"/>
    </row>
    <row r="939" spans="19:23" ht="15.75" customHeight="1" x14ac:dyDescent="0.45">
      <c r="S939" s="61"/>
      <c r="T939" s="61"/>
      <c r="U939" s="61"/>
      <c r="V939" s="61"/>
      <c r="W939" s="58"/>
    </row>
    <row r="940" spans="19:23" ht="15.75" customHeight="1" x14ac:dyDescent="0.45">
      <c r="S940" s="61"/>
      <c r="T940" s="61"/>
      <c r="U940" s="61"/>
      <c r="V940" s="61"/>
      <c r="W940" s="58"/>
    </row>
    <row r="941" spans="19:23" ht="15.75" customHeight="1" x14ac:dyDescent="0.45">
      <c r="S941" s="61"/>
      <c r="T941" s="61"/>
      <c r="U941" s="61"/>
      <c r="V941" s="61"/>
      <c r="W941" s="58"/>
    </row>
    <row r="942" spans="19:23" ht="15.75" customHeight="1" x14ac:dyDescent="0.45">
      <c r="S942" s="61"/>
      <c r="T942" s="61"/>
      <c r="U942" s="61"/>
      <c r="V942" s="61"/>
      <c r="W942" s="58"/>
    </row>
    <row r="943" spans="19:23" ht="15.75" customHeight="1" x14ac:dyDescent="0.45">
      <c r="S943" s="61"/>
      <c r="T943" s="61"/>
      <c r="U943" s="61"/>
      <c r="V943" s="61"/>
      <c r="W943" s="58"/>
    </row>
    <row r="944" spans="19:23" ht="15.75" customHeight="1" x14ac:dyDescent="0.45">
      <c r="S944" s="61"/>
      <c r="T944" s="61"/>
      <c r="U944" s="61"/>
      <c r="V944" s="61"/>
      <c r="W944" s="58"/>
    </row>
    <row r="945" spans="19:23" ht="15.75" customHeight="1" x14ac:dyDescent="0.45">
      <c r="S945" s="61"/>
      <c r="T945" s="61"/>
      <c r="U945" s="61"/>
      <c r="V945" s="61"/>
      <c r="W945" s="58"/>
    </row>
    <row r="946" spans="19:23" ht="15.75" customHeight="1" x14ac:dyDescent="0.45">
      <c r="S946" s="61"/>
      <c r="T946" s="61"/>
      <c r="U946" s="61"/>
      <c r="V946" s="61"/>
      <c r="W946" s="58"/>
    </row>
    <row r="947" spans="19:23" ht="15.75" customHeight="1" x14ac:dyDescent="0.45">
      <c r="S947" s="61"/>
      <c r="T947" s="61"/>
      <c r="U947" s="61"/>
      <c r="V947" s="61"/>
      <c r="W947" s="58"/>
    </row>
    <row r="948" spans="19:23" ht="15.75" customHeight="1" x14ac:dyDescent="0.45">
      <c r="S948" s="61"/>
      <c r="T948" s="61"/>
      <c r="U948" s="61"/>
      <c r="V948" s="61"/>
      <c r="W948" s="58"/>
    </row>
    <row r="949" spans="19:23" ht="15.75" customHeight="1" x14ac:dyDescent="0.45">
      <c r="S949" s="61"/>
      <c r="T949" s="61"/>
      <c r="U949" s="61"/>
      <c r="V949" s="61"/>
      <c r="W949" s="58"/>
    </row>
    <row r="950" spans="19:23" ht="15.75" customHeight="1" x14ac:dyDescent="0.45">
      <c r="S950" s="61"/>
      <c r="T950" s="61"/>
      <c r="U950" s="61"/>
      <c r="V950" s="61"/>
      <c r="W950" s="58"/>
    </row>
    <row r="951" spans="19:23" ht="15.75" customHeight="1" x14ac:dyDescent="0.45">
      <c r="S951" s="61"/>
      <c r="T951" s="61"/>
      <c r="U951" s="61"/>
      <c r="V951" s="61"/>
      <c r="W951" s="58"/>
    </row>
    <row r="952" spans="19:23" ht="15.75" customHeight="1" x14ac:dyDescent="0.45">
      <c r="S952" s="61"/>
      <c r="T952" s="61"/>
      <c r="U952" s="61"/>
      <c r="V952" s="61"/>
      <c r="W952" s="58"/>
    </row>
    <row r="953" spans="19:23" ht="15.75" customHeight="1" x14ac:dyDescent="0.45">
      <c r="S953" s="61"/>
      <c r="T953" s="61"/>
      <c r="U953" s="61"/>
      <c r="V953" s="61"/>
      <c r="W953" s="58"/>
    </row>
    <row r="954" spans="19:23" ht="15.75" customHeight="1" x14ac:dyDescent="0.45">
      <c r="S954" s="61"/>
      <c r="T954" s="61"/>
      <c r="U954" s="61"/>
      <c r="V954" s="61"/>
      <c r="W954" s="58"/>
    </row>
    <row r="955" spans="19:23" ht="15.75" customHeight="1" x14ac:dyDescent="0.45">
      <c r="S955" s="61"/>
      <c r="T955" s="61"/>
      <c r="U955" s="61"/>
      <c r="V955" s="61"/>
      <c r="W955" s="58"/>
    </row>
    <row r="956" spans="19:23" ht="15.75" customHeight="1" x14ac:dyDescent="0.45">
      <c r="S956" s="61"/>
      <c r="T956" s="61"/>
      <c r="U956" s="61"/>
      <c r="V956" s="61"/>
      <c r="W956" s="58"/>
    </row>
    <row r="957" spans="19:23" ht="15.75" customHeight="1" x14ac:dyDescent="0.45">
      <c r="S957" s="61"/>
      <c r="T957" s="61"/>
      <c r="U957" s="61"/>
      <c r="V957" s="61"/>
      <c r="W957" s="58"/>
    </row>
    <row r="958" spans="19:23" ht="15.75" customHeight="1" x14ac:dyDescent="0.45">
      <c r="S958" s="61"/>
      <c r="T958" s="61"/>
      <c r="U958" s="61"/>
      <c r="V958" s="61"/>
      <c r="W958" s="58"/>
    </row>
    <row r="959" spans="19:23" ht="15.75" customHeight="1" x14ac:dyDescent="0.45">
      <c r="S959" s="61"/>
      <c r="T959" s="61"/>
      <c r="U959" s="61"/>
      <c r="V959" s="61"/>
      <c r="W959" s="58"/>
    </row>
    <row r="960" spans="19:23" ht="15.75" customHeight="1" x14ac:dyDescent="0.45">
      <c r="S960" s="61"/>
      <c r="T960" s="61"/>
      <c r="U960" s="61"/>
      <c r="V960" s="61"/>
      <c r="W960" s="58"/>
    </row>
    <row r="961" spans="19:23" ht="15.75" customHeight="1" x14ac:dyDescent="0.45">
      <c r="S961" s="61"/>
      <c r="T961" s="61"/>
      <c r="U961" s="61"/>
      <c r="V961" s="61"/>
      <c r="W961" s="58"/>
    </row>
    <row r="962" spans="19:23" ht="15.75" customHeight="1" x14ac:dyDescent="0.45">
      <c r="S962" s="61"/>
      <c r="T962" s="61"/>
      <c r="U962" s="61"/>
      <c r="V962" s="61"/>
      <c r="W962" s="58"/>
    </row>
    <row r="963" spans="19:23" ht="15.75" customHeight="1" x14ac:dyDescent="0.45">
      <c r="S963" s="61"/>
      <c r="T963" s="61"/>
      <c r="U963" s="61"/>
      <c r="V963" s="61"/>
      <c r="W963" s="58"/>
    </row>
    <row r="964" spans="19:23" ht="15.75" customHeight="1" x14ac:dyDescent="0.45">
      <c r="S964" s="61"/>
      <c r="T964" s="61"/>
      <c r="U964" s="61"/>
      <c r="V964" s="61"/>
      <c r="W964" s="58"/>
    </row>
    <row r="965" spans="19:23" ht="15.75" customHeight="1" x14ac:dyDescent="0.45">
      <c r="S965" s="61"/>
      <c r="T965" s="61"/>
      <c r="U965" s="61"/>
      <c r="V965" s="61"/>
      <c r="W965" s="58"/>
    </row>
    <row r="966" spans="19:23" ht="15.75" customHeight="1" x14ac:dyDescent="0.45">
      <c r="S966" s="61"/>
      <c r="T966" s="61"/>
      <c r="U966" s="61"/>
      <c r="V966" s="61"/>
      <c r="W966" s="58"/>
    </row>
    <row r="967" spans="19:23" ht="15.75" customHeight="1" x14ac:dyDescent="0.45">
      <c r="S967" s="61"/>
      <c r="T967" s="61"/>
      <c r="U967" s="61"/>
      <c r="V967" s="61"/>
      <c r="W967" s="58"/>
    </row>
    <row r="968" spans="19:23" ht="15.75" customHeight="1" x14ac:dyDescent="0.45">
      <c r="S968" s="61"/>
      <c r="T968" s="61"/>
      <c r="U968" s="61"/>
      <c r="V968" s="61"/>
      <c r="W968" s="58"/>
    </row>
    <row r="969" spans="19:23" ht="15.75" customHeight="1" x14ac:dyDescent="0.45">
      <c r="S969" s="61"/>
      <c r="T969" s="61"/>
      <c r="U969" s="61"/>
      <c r="V969" s="61"/>
      <c r="W969" s="58"/>
    </row>
    <row r="970" spans="19:23" ht="15.75" customHeight="1" x14ac:dyDescent="0.45">
      <c r="S970" s="61"/>
      <c r="T970" s="61"/>
      <c r="U970" s="61"/>
      <c r="V970" s="61"/>
      <c r="W970" s="58"/>
    </row>
    <row r="971" spans="19:23" ht="15.75" customHeight="1" x14ac:dyDescent="0.45">
      <c r="S971" s="61"/>
      <c r="T971" s="61"/>
      <c r="U971" s="61"/>
      <c r="V971" s="61"/>
      <c r="W971" s="58"/>
    </row>
    <row r="972" spans="19:23" ht="15.75" customHeight="1" x14ac:dyDescent="0.45">
      <c r="S972" s="61"/>
      <c r="T972" s="61"/>
      <c r="U972" s="61"/>
      <c r="V972" s="61"/>
      <c r="W972" s="58"/>
    </row>
    <row r="973" spans="19:23" ht="15.75" customHeight="1" x14ac:dyDescent="0.45">
      <c r="S973" s="61"/>
      <c r="T973" s="61"/>
      <c r="U973" s="61"/>
      <c r="V973" s="61"/>
      <c r="W973" s="58"/>
    </row>
    <row r="974" spans="19:23" ht="15.75" customHeight="1" x14ac:dyDescent="0.45">
      <c r="S974" s="61"/>
      <c r="T974" s="61"/>
      <c r="U974" s="61"/>
      <c r="V974" s="61"/>
      <c r="W974" s="58"/>
    </row>
    <row r="975" spans="19:23" ht="15.75" customHeight="1" x14ac:dyDescent="0.45">
      <c r="S975" s="61"/>
      <c r="T975" s="61"/>
      <c r="U975" s="61"/>
      <c r="V975" s="61"/>
      <c r="W975" s="58"/>
    </row>
    <row r="976" spans="19:23" ht="15.75" customHeight="1" x14ac:dyDescent="0.45">
      <c r="S976" s="61"/>
      <c r="T976" s="61"/>
      <c r="U976" s="61"/>
      <c r="V976" s="61"/>
      <c r="W976" s="58"/>
    </row>
    <row r="977" spans="19:23" ht="15.75" customHeight="1" x14ac:dyDescent="0.45">
      <c r="S977" s="61"/>
      <c r="T977" s="61"/>
      <c r="U977" s="61"/>
      <c r="V977" s="61"/>
      <c r="W977" s="58"/>
    </row>
    <row r="978" spans="19:23" ht="15.75" customHeight="1" x14ac:dyDescent="0.45">
      <c r="S978" s="61"/>
      <c r="T978" s="61"/>
      <c r="U978" s="61"/>
      <c r="V978" s="61"/>
      <c r="W978" s="58"/>
    </row>
    <row r="979" spans="19:23" ht="15.75" customHeight="1" x14ac:dyDescent="0.45">
      <c r="S979" s="61"/>
      <c r="T979" s="61"/>
      <c r="U979" s="61"/>
      <c r="V979" s="61"/>
      <c r="W979" s="58"/>
    </row>
    <row r="980" spans="19:23" ht="15.75" customHeight="1" x14ac:dyDescent="0.45">
      <c r="S980" s="61"/>
      <c r="T980" s="61"/>
      <c r="U980" s="61"/>
      <c r="V980" s="61"/>
      <c r="W980" s="58"/>
    </row>
    <row r="981" spans="19:23" ht="15.75" customHeight="1" x14ac:dyDescent="0.45">
      <c r="S981" s="61"/>
      <c r="T981" s="61"/>
      <c r="U981" s="61"/>
      <c r="V981" s="61"/>
      <c r="W981" s="58"/>
    </row>
    <row r="982" spans="19:23" ht="15.75" customHeight="1" x14ac:dyDescent="0.45">
      <c r="S982" s="61"/>
      <c r="T982" s="61"/>
      <c r="U982" s="61"/>
      <c r="V982" s="61"/>
      <c r="W982" s="58"/>
    </row>
    <row r="983" spans="19:23" ht="15.75" customHeight="1" x14ac:dyDescent="0.45">
      <c r="S983" s="61"/>
      <c r="T983" s="61"/>
      <c r="U983" s="61"/>
      <c r="V983" s="61"/>
      <c r="W983" s="58"/>
    </row>
    <row r="984" spans="19:23" ht="15.75" customHeight="1" x14ac:dyDescent="0.45">
      <c r="S984" s="61"/>
      <c r="T984" s="61"/>
      <c r="U984" s="61"/>
      <c r="V984" s="61"/>
      <c r="W984" s="58"/>
    </row>
    <row r="985" spans="19:23" ht="15.75" customHeight="1" x14ac:dyDescent="0.45">
      <c r="S985" s="61"/>
      <c r="T985" s="61"/>
      <c r="U985" s="61"/>
      <c r="V985" s="61"/>
      <c r="W985" s="58"/>
    </row>
    <row r="986" spans="19:23" ht="15.75" customHeight="1" x14ac:dyDescent="0.45">
      <c r="S986" s="61"/>
      <c r="T986" s="61"/>
      <c r="U986" s="61"/>
      <c r="V986" s="61"/>
      <c r="W986" s="58"/>
    </row>
    <row r="987" spans="19:23" ht="15.75" customHeight="1" x14ac:dyDescent="0.45">
      <c r="S987" s="61"/>
      <c r="T987" s="61"/>
      <c r="U987" s="61"/>
      <c r="V987" s="61"/>
      <c r="W987" s="58"/>
    </row>
    <row r="988" spans="19:23" ht="15.75" customHeight="1" x14ac:dyDescent="0.45">
      <c r="S988" s="61"/>
      <c r="T988" s="61"/>
      <c r="U988" s="61"/>
      <c r="V988" s="61"/>
      <c r="W988" s="58"/>
    </row>
    <row r="989" spans="19:23" ht="15.75" customHeight="1" x14ac:dyDescent="0.45">
      <c r="S989" s="61"/>
      <c r="T989" s="61"/>
      <c r="U989" s="61"/>
      <c r="V989" s="61"/>
      <c r="W989" s="58"/>
    </row>
    <row r="990" spans="19:23" ht="15.75" customHeight="1" x14ac:dyDescent="0.45">
      <c r="S990" s="61"/>
      <c r="T990" s="61"/>
      <c r="U990" s="61"/>
      <c r="V990" s="61"/>
      <c r="W990" s="58"/>
    </row>
    <row r="991" spans="19:23" ht="15.75" customHeight="1" x14ac:dyDescent="0.45">
      <c r="S991" s="61"/>
      <c r="T991" s="61"/>
      <c r="U991" s="61"/>
      <c r="V991" s="61"/>
      <c r="W991" s="58"/>
    </row>
    <row r="992" spans="19:23" ht="15.75" customHeight="1" x14ac:dyDescent="0.45">
      <c r="S992" s="61"/>
      <c r="T992" s="61"/>
      <c r="U992" s="61"/>
      <c r="V992" s="61"/>
      <c r="W992" s="58"/>
    </row>
    <row r="993" spans="19:23" ht="15.75" customHeight="1" x14ac:dyDescent="0.45">
      <c r="S993" s="61"/>
      <c r="T993" s="61"/>
      <c r="U993" s="61"/>
      <c r="V993" s="61"/>
      <c r="W993" s="58"/>
    </row>
    <row r="994" spans="19:23" ht="15.75" customHeight="1" x14ac:dyDescent="0.45">
      <c r="S994" s="61"/>
      <c r="T994" s="61"/>
      <c r="U994" s="61"/>
      <c r="V994" s="61"/>
      <c r="W994" s="58"/>
    </row>
    <row r="995" spans="19:23" ht="15.75" customHeight="1" x14ac:dyDescent="0.45">
      <c r="S995" s="61"/>
      <c r="T995" s="61"/>
      <c r="U995" s="61"/>
      <c r="V995" s="61"/>
      <c r="W995" s="58"/>
    </row>
    <row r="996" spans="19:23" ht="15.75" customHeight="1" x14ac:dyDescent="0.45">
      <c r="S996" s="61"/>
      <c r="T996" s="61"/>
      <c r="U996" s="61"/>
      <c r="V996" s="61"/>
      <c r="W996" s="58"/>
    </row>
    <row r="997" spans="19:23" ht="15.75" customHeight="1" x14ac:dyDescent="0.45">
      <c r="S997" s="61"/>
      <c r="T997" s="61"/>
      <c r="U997" s="61"/>
      <c r="V997" s="61"/>
      <c r="W997" s="58"/>
    </row>
    <row r="998" spans="19:23" ht="15.75" customHeight="1" x14ac:dyDescent="0.45">
      <c r="S998" s="61"/>
      <c r="T998" s="61"/>
      <c r="U998" s="61"/>
      <c r="V998" s="61"/>
      <c r="W998" s="58"/>
    </row>
    <row r="999" spans="19:23" ht="15.75" customHeight="1" x14ac:dyDescent="0.45">
      <c r="S999" s="61"/>
      <c r="T999" s="61"/>
      <c r="U999" s="61"/>
      <c r="V999" s="61"/>
      <c r="W999" s="58"/>
    </row>
    <row r="1000" spans="19:23" ht="15.75" customHeight="1" x14ac:dyDescent="0.45">
      <c r="S1000" s="61"/>
      <c r="T1000" s="61"/>
      <c r="U1000" s="61"/>
      <c r="V1000" s="61"/>
      <c r="W1000" s="58"/>
    </row>
    <row r="1001" spans="19:23" ht="15.75" customHeight="1" x14ac:dyDescent="0.45">
      <c r="S1001" s="61"/>
      <c r="T1001" s="61"/>
      <c r="U1001" s="61"/>
      <c r="V1001" s="61"/>
      <c r="W1001" s="58"/>
    </row>
    <row r="1002" spans="19:23" ht="15.75" customHeight="1" x14ac:dyDescent="0.45">
      <c r="S1002" s="61"/>
      <c r="T1002" s="61"/>
      <c r="U1002" s="61"/>
      <c r="V1002" s="61"/>
      <c r="W1002" s="58"/>
    </row>
    <row r="1003" spans="19:23" ht="15.75" customHeight="1" x14ac:dyDescent="0.45">
      <c r="S1003" s="61"/>
      <c r="T1003" s="61"/>
      <c r="U1003" s="61"/>
      <c r="V1003" s="61"/>
      <c r="W1003" s="58"/>
    </row>
    <row r="1004" spans="19:23" ht="15.75" customHeight="1" x14ac:dyDescent="0.45">
      <c r="S1004" s="61"/>
      <c r="T1004" s="61"/>
      <c r="U1004" s="61"/>
      <c r="V1004" s="61"/>
      <c r="W1004" s="58"/>
    </row>
    <row r="1005" spans="19:23" ht="15.75" customHeight="1" x14ac:dyDescent="0.45">
      <c r="S1005" s="61"/>
      <c r="T1005" s="61"/>
      <c r="U1005" s="61"/>
      <c r="V1005" s="61"/>
      <c r="W1005" s="58"/>
    </row>
    <row r="1006" spans="19:23" ht="15.75" customHeight="1" x14ac:dyDescent="0.45">
      <c r="S1006" s="61"/>
      <c r="T1006" s="61"/>
      <c r="U1006" s="61"/>
      <c r="V1006" s="61"/>
      <c r="W1006" s="58"/>
    </row>
  </sheetData>
  <mergeCells count="37"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Y18:Z18"/>
    <mergeCell ref="AA18:AB18"/>
    <mergeCell ref="AC18:AD18"/>
    <mergeCell ref="AE18:AF18"/>
    <mergeCell ref="Y16:AG16"/>
  </mergeCells>
  <phoneticPr fontId="22"/>
  <conditionalFormatting sqref="C20:W20 J20:J49 T20:V50 O20:O51 C21:I23 J21:W42 C24:F25 J43:N50 P43:W50">
    <cfRule type="expression" dxfId="15" priority="3">
      <formula>$A20=1</formula>
    </cfRule>
  </conditionalFormatting>
  <conditionalFormatting sqref="E20:K50">
    <cfRule type="expression" dxfId="14" priority="1">
      <formula>$A20=1</formula>
    </cfRule>
  </conditionalFormatting>
  <conditionalFormatting sqref="F20:K48 G23:K50 C26:I50">
    <cfRule type="expression" dxfId="13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8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17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16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>
        <v>0.35416666666666669</v>
      </c>
      <c r="P8" s="23" t="s">
        <v>36</v>
      </c>
      <c r="Q8" s="24">
        <v>0.72916666666666663</v>
      </c>
      <c r="R8" s="244">
        <v>4.1666666666666664E-2</v>
      </c>
      <c r="S8" s="245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26"/>
      <c r="P9" s="27" t="s">
        <v>36</v>
      </c>
      <c r="Q9" s="28"/>
      <c r="R9" s="246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6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6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6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6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6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6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3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6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6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6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6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6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6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6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6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6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6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6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6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3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6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</row>
    <row r="247" spans="1:26" ht="15.75" customHeight="1" x14ac:dyDescent="0.45">
      <c r="S247" s="5"/>
      <c r="T247" s="5"/>
      <c r="U247" s="5"/>
      <c r="V247" s="5"/>
      <c r="W247" s="45"/>
    </row>
    <row r="248" spans="1:26" ht="15.75" customHeight="1" x14ac:dyDescent="0.45">
      <c r="S248" s="5"/>
      <c r="T248" s="5"/>
      <c r="U248" s="5"/>
      <c r="V248" s="5"/>
      <c r="W248" s="45"/>
    </row>
    <row r="249" spans="1:26" ht="15.75" customHeight="1" x14ac:dyDescent="0.45">
      <c r="S249" s="5"/>
      <c r="T249" s="5"/>
      <c r="U249" s="5"/>
      <c r="V249" s="5"/>
      <c r="W249" s="45"/>
    </row>
    <row r="250" spans="1:26" ht="15.75" customHeight="1" x14ac:dyDescent="0.45">
      <c r="S250" s="5"/>
      <c r="T250" s="5"/>
      <c r="U250" s="5"/>
      <c r="V250" s="5"/>
      <c r="W250" s="45"/>
    </row>
    <row r="251" spans="1:26" ht="15.75" customHeight="1" x14ac:dyDescent="0.45">
      <c r="S251" s="5"/>
      <c r="T251" s="5"/>
      <c r="U251" s="5"/>
      <c r="V251" s="5"/>
      <c r="W251" s="45"/>
    </row>
    <row r="252" spans="1:26" ht="15.75" customHeight="1" x14ac:dyDescent="0.45">
      <c r="S252" s="5"/>
      <c r="T252" s="5"/>
      <c r="U252" s="5"/>
      <c r="V252" s="5"/>
      <c r="W252" s="45"/>
    </row>
    <row r="253" spans="1:26" ht="15.75" customHeight="1" x14ac:dyDescent="0.45">
      <c r="S253" s="5"/>
      <c r="T253" s="5"/>
      <c r="U253" s="5"/>
      <c r="V253" s="5"/>
      <c r="W253" s="45"/>
    </row>
    <row r="254" spans="1:26" ht="15.75" customHeight="1" x14ac:dyDescent="0.45">
      <c r="S254" s="5"/>
      <c r="T254" s="5"/>
      <c r="U254" s="5"/>
      <c r="V254" s="5"/>
      <c r="W254" s="45"/>
    </row>
    <row r="255" spans="1:26" ht="15.75" customHeight="1" x14ac:dyDescent="0.45">
      <c r="S255" s="5"/>
      <c r="T255" s="5"/>
      <c r="U255" s="5"/>
      <c r="V255" s="5"/>
      <c r="W255" s="45"/>
    </row>
    <row r="256" spans="1:26" ht="15.75" customHeight="1" x14ac:dyDescent="0.45">
      <c r="S256" s="5"/>
      <c r="T256" s="5"/>
      <c r="U256" s="5"/>
      <c r="V256" s="5"/>
      <c r="W256" s="45"/>
    </row>
    <row r="257" spans="19:23" ht="15.75" customHeight="1" x14ac:dyDescent="0.45">
      <c r="S257" s="5"/>
      <c r="T257" s="5"/>
      <c r="U257" s="5"/>
      <c r="V257" s="5"/>
      <c r="W257" s="45"/>
    </row>
    <row r="258" spans="19:23" ht="15.75" customHeight="1" x14ac:dyDescent="0.45">
      <c r="S258" s="5"/>
      <c r="T258" s="5"/>
      <c r="U258" s="5"/>
      <c r="V258" s="5"/>
      <c r="W258" s="45"/>
    </row>
    <row r="259" spans="19:23" ht="15.75" customHeight="1" x14ac:dyDescent="0.45">
      <c r="S259" s="5"/>
      <c r="T259" s="5"/>
      <c r="U259" s="5"/>
      <c r="V259" s="5"/>
      <c r="W259" s="45"/>
    </row>
    <row r="260" spans="19:23" ht="15.75" customHeight="1" x14ac:dyDescent="0.45">
      <c r="S260" s="5"/>
      <c r="T260" s="5"/>
      <c r="U260" s="5"/>
      <c r="V260" s="5"/>
      <c r="W260" s="45"/>
    </row>
    <row r="261" spans="19:23" ht="15.75" customHeight="1" x14ac:dyDescent="0.45">
      <c r="S261" s="5"/>
      <c r="T261" s="5"/>
      <c r="U261" s="5"/>
      <c r="V261" s="5"/>
      <c r="W261" s="45"/>
    </row>
    <row r="262" spans="19:23" ht="15.75" customHeight="1" x14ac:dyDescent="0.45">
      <c r="S262" s="5"/>
      <c r="T262" s="5"/>
      <c r="U262" s="5"/>
      <c r="V262" s="5"/>
      <c r="W262" s="45"/>
    </row>
    <row r="263" spans="19:23" ht="15.75" customHeight="1" x14ac:dyDescent="0.45">
      <c r="S263" s="5"/>
      <c r="T263" s="5"/>
      <c r="U263" s="5"/>
      <c r="V263" s="5"/>
      <c r="W263" s="45"/>
    </row>
    <row r="264" spans="19:23" ht="15.75" customHeight="1" x14ac:dyDescent="0.45">
      <c r="S264" s="5"/>
      <c r="T264" s="5"/>
      <c r="U264" s="5"/>
      <c r="V264" s="5"/>
      <c r="W264" s="45"/>
    </row>
    <row r="265" spans="19:23" ht="15.75" customHeight="1" x14ac:dyDescent="0.45">
      <c r="S265" s="5"/>
      <c r="T265" s="5"/>
      <c r="U265" s="5"/>
      <c r="V265" s="5"/>
      <c r="W265" s="45"/>
    </row>
    <row r="266" spans="19:23" ht="15.75" customHeight="1" x14ac:dyDescent="0.45">
      <c r="S266" s="5"/>
      <c r="T266" s="5"/>
      <c r="U266" s="5"/>
      <c r="V266" s="5"/>
      <c r="W266" s="45"/>
    </row>
    <row r="267" spans="19:23" ht="15.75" customHeight="1" x14ac:dyDescent="0.45">
      <c r="S267" s="5"/>
      <c r="T267" s="5"/>
      <c r="U267" s="5"/>
      <c r="V267" s="5"/>
      <c r="W267" s="45"/>
    </row>
    <row r="268" spans="19:23" ht="15.75" customHeight="1" x14ac:dyDescent="0.45">
      <c r="S268" s="5"/>
      <c r="T268" s="5"/>
      <c r="U268" s="5"/>
      <c r="V268" s="5"/>
      <c r="W268" s="45"/>
    </row>
    <row r="269" spans="19:23" ht="15.75" customHeight="1" x14ac:dyDescent="0.45">
      <c r="S269" s="5"/>
      <c r="T269" s="5"/>
      <c r="U269" s="5"/>
      <c r="V269" s="5"/>
      <c r="W269" s="45"/>
    </row>
    <row r="270" spans="19:23" ht="15.75" customHeight="1" x14ac:dyDescent="0.45">
      <c r="S270" s="5"/>
      <c r="T270" s="5"/>
      <c r="U270" s="5"/>
      <c r="V270" s="5"/>
      <c r="W270" s="45"/>
    </row>
    <row r="271" spans="19:23" ht="15.75" customHeight="1" x14ac:dyDescent="0.45">
      <c r="S271" s="5"/>
      <c r="T271" s="5"/>
      <c r="U271" s="5"/>
      <c r="V271" s="5"/>
      <c r="W271" s="45"/>
    </row>
    <row r="272" spans="19:23" ht="15.75" customHeight="1" x14ac:dyDescent="0.45">
      <c r="S272" s="5"/>
      <c r="T272" s="5"/>
      <c r="U272" s="5"/>
      <c r="V272" s="5"/>
      <c r="W272" s="45"/>
    </row>
    <row r="273" spans="19:23" ht="15.75" customHeight="1" x14ac:dyDescent="0.45">
      <c r="S273" s="5"/>
      <c r="T273" s="5"/>
      <c r="U273" s="5"/>
      <c r="V273" s="5"/>
      <c r="W273" s="45"/>
    </row>
    <row r="274" spans="19:23" ht="15.75" customHeight="1" x14ac:dyDescent="0.45">
      <c r="S274" s="5"/>
      <c r="T274" s="5"/>
      <c r="U274" s="5"/>
      <c r="V274" s="5"/>
      <c r="W274" s="45"/>
    </row>
    <row r="275" spans="19:23" ht="15.75" customHeight="1" x14ac:dyDescent="0.45">
      <c r="S275" s="5"/>
      <c r="T275" s="5"/>
      <c r="U275" s="5"/>
      <c r="V275" s="5"/>
      <c r="W275" s="45"/>
    </row>
    <row r="276" spans="19:23" ht="15.75" customHeight="1" x14ac:dyDescent="0.45">
      <c r="S276" s="5"/>
      <c r="T276" s="5"/>
      <c r="U276" s="5"/>
      <c r="V276" s="5"/>
      <c r="W276" s="45"/>
    </row>
    <row r="277" spans="19:23" ht="15.75" customHeight="1" x14ac:dyDescent="0.45">
      <c r="S277" s="5"/>
      <c r="T277" s="5"/>
      <c r="U277" s="5"/>
      <c r="V277" s="5"/>
      <c r="W277" s="45"/>
    </row>
    <row r="278" spans="19:23" ht="15.75" customHeight="1" x14ac:dyDescent="0.45">
      <c r="S278" s="5"/>
      <c r="T278" s="5"/>
      <c r="U278" s="5"/>
      <c r="V278" s="5"/>
      <c r="W278" s="45"/>
    </row>
    <row r="279" spans="19:23" ht="15.75" customHeight="1" x14ac:dyDescent="0.45">
      <c r="S279" s="5"/>
      <c r="T279" s="5"/>
      <c r="U279" s="5"/>
      <c r="V279" s="5"/>
      <c r="W279" s="45"/>
    </row>
    <row r="280" spans="19:23" ht="15.75" customHeight="1" x14ac:dyDescent="0.45">
      <c r="S280" s="5"/>
      <c r="T280" s="5"/>
      <c r="U280" s="5"/>
      <c r="V280" s="5"/>
      <c r="W280" s="45"/>
    </row>
    <row r="281" spans="19:23" ht="15.75" customHeight="1" x14ac:dyDescent="0.45">
      <c r="S281" s="5"/>
      <c r="T281" s="5"/>
      <c r="U281" s="5"/>
      <c r="V281" s="5"/>
      <c r="W281" s="45"/>
    </row>
    <row r="282" spans="19:23" ht="15.75" customHeight="1" x14ac:dyDescent="0.45">
      <c r="S282" s="5"/>
      <c r="T282" s="5"/>
      <c r="U282" s="5"/>
      <c r="V282" s="5"/>
      <c r="W282" s="45"/>
    </row>
    <row r="283" spans="19:23" ht="15.75" customHeight="1" x14ac:dyDescent="0.45">
      <c r="S283" s="5"/>
      <c r="T283" s="5"/>
      <c r="U283" s="5"/>
      <c r="V283" s="5"/>
      <c r="W283" s="45"/>
    </row>
    <row r="284" spans="19:23" ht="15.75" customHeight="1" x14ac:dyDescent="0.45">
      <c r="S284" s="5"/>
      <c r="T284" s="5"/>
      <c r="U284" s="5"/>
      <c r="V284" s="5"/>
      <c r="W284" s="45"/>
    </row>
    <row r="285" spans="19:23" ht="15.75" customHeight="1" x14ac:dyDescent="0.45">
      <c r="S285" s="5"/>
      <c r="T285" s="5"/>
      <c r="U285" s="5"/>
      <c r="V285" s="5"/>
      <c r="W285" s="45"/>
    </row>
    <row r="286" spans="19:23" ht="15.75" customHeight="1" x14ac:dyDescent="0.45">
      <c r="S286" s="5"/>
      <c r="T286" s="5"/>
      <c r="U286" s="5"/>
      <c r="V286" s="5"/>
      <c r="W286" s="45"/>
    </row>
    <row r="287" spans="19:23" ht="15.75" customHeight="1" x14ac:dyDescent="0.45">
      <c r="S287" s="5"/>
      <c r="T287" s="5"/>
      <c r="U287" s="5"/>
      <c r="V287" s="5"/>
      <c r="W287" s="45"/>
    </row>
    <row r="288" spans="19:23" ht="15.75" customHeight="1" x14ac:dyDescent="0.45">
      <c r="S288" s="5"/>
      <c r="T288" s="5"/>
      <c r="U288" s="5"/>
      <c r="V288" s="5"/>
      <c r="W288" s="45"/>
    </row>
    <row r="289" spans="19:23" ht="15.75" customHeight="1" x14ac:dyDescent="0.45">
      <c r="S289" s="5"/>
      <c r="T289" s="5"/>
      <c r="U289" s="5"/>
      <c r="V289" s="5"/>
      <c r="W289" s="45"/>
    </row>
    <row r="290" spans="19:23" ht="15.75" customHeight="1" x14ac:dyDescent="0.45">
      <c r="S290" s="5"/>
      <c r="T290" s="5"/>
      <c r="U290" s="5"/>
      <c r="V290" s="5"/>
      <c r="W290" s="45"/>
    </row>
    <row r="291" spans="19:23" ht="15.75" customHeight="1" x14ac:dyDescent="0.45">
      <c r="S291" s="5"/>
      <c r="T291" s="5"/>
      <c r="U291" s="5"/>
      <c r="V291" s="5"/>
      <c r="W291" s="45"/>
    </row>
    <row r="292" spans="19:23" ht="15.75" customHeight="1" x14ac:dyDescent="0.45">
      <c r="S292" s="5"/>
      <c r="T292" s="5"/>
      <c r="U292" s="5"/>
      <c r="V292" s="5"/>
      <c r="W292" s="45"/>
    </row>
    <row r="293" spans="19:23" ht="15.75" customHeight="1" x14ac:dyDescent="0.45">
      <c r="S293" s="5"/>
      <c r="T293" s="5"/>
      <c r="U293" s="5"/>
      <c r="V293" s="5"/>
      <c r="W293" s="45"/>
    </row>
    <row r="294" spans="19:23" ht="15.75" customHeight="1" x14ac:dyDescent="0.45">
      <c r="S294" s="5"/>
      <c r="T294" s="5"/>
      <c r="U294" s="5"/>
      <c r="V294" s="5"/>
      <c r="W294" s="45"/>
    </row>
    <row r="295" spans="19:23" ht="15.75" customHeight="1" x14ac:dyDescent="0.45">
      <c r="S295" s="5"/>
      <c r="T295" s="5"/>
      <c r="U295" s="5"/>
      <c r="V295" s="5"/>
      <c r="W295" s="45"/>
    </row>
    <row r="296" spans="19:23" ht="15.75" customHeight="1" x14ac:dyDescent="0.45">
      <c r="S296" s="5"/>
      <c r="T296" s="5"/>
      <c r="U296" s="5"/>
      <c r="V296" s="5"/>
      <c r="W296" s="45"/>
    </row>
    <row r="297" spans="19:23" ht="15.75" customHeight="1" x14ac:dyDescent="0.45">
      <c r="S297" s="5"/>
      <c r="T297" s="5"/>
      <c r="U297" s="5"/>
      <c r="V297" s="5"/>
      <c r="W297" s="45"/>
    </row>
    <row r="298" spans="19:23" ht="15.75" customHeight="1" x14ac:dyDescent="0.45">
      <c r="S298" s="5"/>
      <c r="T298" s="5"/>
      <c r="U298" s="5"/>
      <c r="V298" s="5"/>
      <c r="W298" s="45"/>
    </row>
    <row r="299" spans="19:23" ht="15.75" customHeight="1" x14ac:dyDescent="0.45">
      <c r="S299" s="5"/>
      <c r="T299" s="5"/>
      <c r="U299" s="5"/>
      <c r="V299" s="5"/>
      <c r="W299" s="45"/>
    </row>
    <row r="300" spans="19:23" ht="15.75" customHeight="1" x14ac:dyDescent="0.45">
      <c r="S300" s="5"/>
      <c r="T300" s="5"/>
      <c r="U300" s="5"/>
      <c r="V300" s="5"/>
      <c r="W300" s="45"/>
    </row>
    <row r="301" spans="19:23" ht="15.75" customHeight="1" x14ac:dyDescent="0.45">
      <c r="S301" s="5"/>
      <c r="T301" s="5"/>
      <c r="U301" s="5"/>
      <c r="V301" s="5"/>
      <c r="W301" s="45"/>
    </row>
    <row r="302" spans="19:23" ht="15.75" customHeight="1" x14ac:dyDescent="0.45">
      <c r="S302" s="5"/>
      <c r="T302" s="5"/>
      <c r="U302" s="5"/>
      <c r="V302" s="5"/>
      <c r="W302" s="45"/>
    </row>
    <row r="303" spans="19:23" ht="15.75" customHeight="1" x14ac:dyDescent="0.45">
      <c r="S303" s="5"/>
      <c r="T303" s="5"/>
      <c r="U303" s="5"/>
      <c r="V303" s="5"/>
      <c r="W303" s="45"/>
    </row>
    <row r="304" spans="19:23" ht="15.75" customHeight="1" x14ac:dyDescent="0.45">
      <c r="S304" s="5"/>
      <c r="T304" s="5"/>
      <c r="U304" s="5"/>
      <c r="V304" s="5"/>
      <c r="W304" s="45"/>
    </row>
    <row r="305" spans="19:23" ht="15.75" customHeight="1" x14ac:dyDescent="0.45">
      <c r="S305" s="5"/>
      <c r="T305" s="5"/>
      <c r="U305" s="5"/>
      <c r="V305" s="5"/>
      <c r="W305" s="45"/>
    </row>
    <row r="306" spans="19:23" ht="15.75" customHeight="1" x14ac:dyDescent="0.45">
      <c r="S306" s="5"/>
      <c r="T306" s="5"/>
      <c r="U306" s="5"/>
      <c r="V306" s="5"/>
      <c r="W306" s="45"/>
    </row>
    <row r="307" spans="19:23" ht="15.75" customHeight="1" x14ac:dyDescent="0.45">
      <c r="S307" s="5"/>
      <c r="T307" s="5"/>
      <c r="U307" s="5"/>
      <c r="V307" s="5"/>
      <c r="W307" s="45"/>
    </row>
    <row r="308" spans="19:23" ht="15.75" customHeight="1" x14ac:dyDescent="0.45">
      <c r="S308" s="5"/>
      <c r="T308" s="5"/>
      <c r="U308" s="5"/>
      <c r="V308" s="5"/>
      <c r="W308" s="45"/>
    </row>
    <row r="309" spans="19:23" ht="15.75" customHeight="1" x14ac:dyDescent="0.45">
      <c r="S309" s="5"/>
      <c r="T309" s="5"/>
      <c r="U309" s="5"/>
      <c r="V309" s="5"/>
      <c r="W309" s="45"/>
    </row>
    <row r="310" spans="19:23" ht="15.75" customHeight="1" x14ac:dyDescent="0.45">
      <c r="S310" s="5"/>
      <c r="T310" s="5"/>
      <c r="U310" s="5"/>
      <c r="V310" s="5"/>
      <c r="W310" s="45"/>
    </row>
    <row r="311" spans="19:23" ht="15.75" customHeight="1" x14ac:dyDescent="0.45">
      <c r="S311" s="5"/>
      <c r="T311" s="5"/>
      <c r="U311" s="5"/>
      <c r="V311" s="5"/>
      <c r="W311" s="45"/>
    </row>
    <row r="312" spans="19:23" ht="15.75" customHeight="1" x14ac:dyDescent="0.45">
      <c r="S312" s="5"/>
      <c r="T312" s="5"/>
      <c r="U312" s="5"/>
      <c r="V312" s="5"/>
      <c r="W312" s="45"/>
    </row>
    <row r="313" spans="19:23" ht="15.75" customHeight="1" x14ac:dyDescent="0.45">
      <c r="S313" s="5"/>
      <c r="T313" s="5"/>
      <c r="U313" s="5"/>
      <c r="V313" s="5"/>
      <c r="W313" s="45"/>
    </row>
    <row r="314" spans="19:23" ht="15.75" customHeight="1" x14ac:dyDescent="0.45">
      <c r="S314" s="5"/>
      <c r="T314" s="5"/>
      <c r="U314" s="5"/>
      <c r="V314" s="5"/>
      <c r="W314" s="45"/>
    </row>
    <row r="315" spans="19:23" ht="15.75" customHeight="1" x14ac:dyDescent="0.45">
      <c r="S315" s="5"/>
      <c r="T315" s="5"/>
      <c r="U315" s="5"/>
      <c r="V315" s="5"/>
      <c r="W315" s="45"/>
    </row>
    <row r="316" spans="19:23" ht="15.75" customHeight="1" x14ac:dyDescent="0.45">
      <c r="S316" s="5"/>
      <c r="T316" s="5"/>
      <c r="U316" s="5"/>
      <c r="V316" s="5"/>
      <c r="W316" s="45"/>
    </row>
    <row r="317" spans="19:23" ht="15.75" customHeight="1" x14ac:dyDescent="0.45">
      <c r="S317" s="5"/>
      <c r="T317" s="5"/>
      <c r="U317" s="5"/>
      <c r="V317" s="5"/>
      <c r="W317" s="45"/>
    </row>
    <row r="318" spans="19:23" ht="15.75" customHeight="1" x14ac:dyDescent="0.45">
      <c r="S318" s="5"/>
      <c r="T318" s="5"/>
      <c r="U318" s="5"/>
      <c r="V318" s="5"/>
      <c r="W318" s="45"/>
    </row>
    <row r="319" spans="19:23" ht="15.75" customHeight="1" x14ac:dyDescent="0.45">
      <c r="S319" s="5"/>
      <c r="T319" s="5"/>
      <c r="U319" s="5"/>
      <c r="V319" s="5"/>
      <c r="W319" s="45"/>
    </row>
    <row r="320" spans="19:23" ht="15.75" customHeight="1" x14ac:dyDescent="0.45">
      <c r="S320" s="5"/>
      <c r="T320" s="5"/>
      <c r="U320" s="5"/>
      <c r="V320" s="5"/>
      <c r="W320" s="45"/>
    </row>
    <row r="321" spans="19:23" ht="15.75" customHeight="1" x14ac:dyDescent="0.45">
      <c r="S321" s="5"/>
      <c r="T321" s="5"/>
      <c r="U321" s="5"/>
      <c r="V321" s="5"/>
      <c r="W321" s="45"/>
    </row>
    <row r="322" spans="19:23" ht="15.75" customHeight="1" x14ac:dyDescent="0.45">
      <c r="S322" s="5"/>
      <c r="T322" s="5"/>
      <c r="U322" s="5"/>
      <c r="V322" s="5"/>
      <c r="W322" s="45"/>
    </row>
    <row r="323" spans="19:23" ht="15.75" customHeight="1" x14ac:dyDescent="0.45">
      <c r="S323" s="5"/>
      <c r="T323" s="5"/>
      <c r="U323" s="5"/>
      <c r="V323" s="5"/>
      <c r="W323" s="45"/>
    </row>
    <row r="324" spans="19:23" ht="15.75" customHeight="1" x14ac:dyDescent="0.45">
      <c r="S324" s="5"/>
      <c r="T324" s="5"/>
      <c r="U324" s="5"/>
      <c r="V324" s="5"/>
      <c r="W324" s="45"/>
    </row>
    <row r="325" spans="19:23" ht="15.75" customHeight="1" x14ac:dyDescent="0.45">
      <c r="S325" s="5"/>
      <c r="T325" s="5"/>
      <c r="U325" s="5"/>
      <c r="V325" s="5"/>
      <c r="W325" s="45"/>
    </row>
    <row r="326" spans="19:23" ht="15.75" customHeight="1" x14ac:dyDescent="0.45">
      <c r="S326" s="5"/>
      <c r="T326" s="5"/>
      <c r="U326" s="5"/>
      <c r="V326" s="5"/>
      <c r="W326" s="45"/>
    </row>
    <row r="327" spans="19:23" ht="15.75" customHeight="1" x14ac:dyDescent="0.45">
      <c r="S327" s="5"/>
      <c r="T327" s="5"/>
      <c r="U327" s="5"/>
      <c r="V327" s="5"/>
      <c r="W327" s="45"/>
    </row>
    <row r="328" spans="19:23" ht="15.75" customHeight="1" x14ac:dyDescent="0.45">
      <c r="S328" s="5"/>
      <c r="T328" s="5"/>
      <c r="U328" s="5"/>
      <c r="V328" s="5"/>
      <c r="W328" s="45"/>
    </row>
    <row r="329" spans="19:23" ht="15.75" customHeight="1" x14ac:dyDescent="0.45">
      <c r="S329" s="5"/>
      <c r="T329" s="5"/>
      <c r="U329" s="5"/>
      <c r="V329" s="5"/>
      <c r="W329" s="45"/>
    </row>
    <row r="330" spans="19:23" ht="15.75" customHeight="1" x14ac:dyDescent="0.45">
      <c r="S330" s="5"/>
      <c r="T330" s="5"/>
      <c r="U330" s="5"/>
      <c r="V330" s="5"/>
      <c r="W330" s="45"/>
    </row>
    <row r="331" spans="19:23" ht="15.75" customHeight="1" x14ac:dyDescent="0.45">
      <c r="S331" s="5"/>
      <c r="T331" s="5"/>
      <c r="U331" s="5"/>
      <c r="V331" s="5"/>
      <c r="W331" s="45"/>
    </row>
    <row r="332" spans="19:23" ht="15.75" customHeight="1" x14ac:dyDescent="0.45">
      <c r="S332" s="5"/>
      <c r="T332" s="5"/>
      <c r="U332" s="5"/>
      <c r="V332" s="5"/>
      <c r="W332" s="45"/>
    </row>
    <row r="333" spans="19:23" ht="15.75" customHeight="1" x14ac:dyDescent="0.45">
      <c r="S333" s="5"/>
      <c r="T333" s="5"/>
      <c r="U333" s="5"/>
      <c r="V333" s="5"/>
      <c r="W333" s="45"/>
    </row>
    <row r="334" spans="19:23" ht="15.75" customHeight="1" x14ac:dyDescent="0.45">
      <c r="S334" s="5"/>
      <c r="T334" s="5"/>
      <c r="U334" s="5"/>
      <c r="V334" s="5"/>
      <c r="W334" s="45"/>
    </row>
    <row r="335" spans="19:23" ht="15.75" customHeight="1" x14ac:dyDescent="0.45">
      <c r="S335" s="5"/>
      <c r="T335" s="5"/>
      <c r="U335" s="5"/>
      <c r="V335" s="5"/>
      <c r="W335" s="45"/>
    </row>
    <row r="336" spans="19:23" ht="15.75" customHeight="1" x14ac:dyDescent="0.45">
      <c r="S336" s="5"/>
      <c r="T336" s="5"/>
      <c r="U336" s="5"/>
      <c r="V336" s="5"/>
      <c r="W336" s="45"/>
    </row>
    <row r="337" spans="19:23" ht="15.75" customHeight="1" x14ac:dyDescent="0.45">
      <c r="S337" s="5"/>
      <c r="T337" s="5"/>
      <c r="U337" s="5"/>
      <c r="V337" s="5"/>
      <c r="W337" s="45"/>
    </row>
    <row r="338" spans="19:23" ht="15.75" customHeight="1" x14ac:dyDescent="0.45">
      <c r="S338" s="5"/>
      <c r="T338" s="5"/>
      <c r="U338" s="5"/>
      <c r="V338" s="5"/>
      <c r="W338" s="45"/>
    </row>
    <row r="339" spans="19:23" ht="15.75" customHeight="1" x14ac:dyDescent="0.45">
      <c r="S339" s="5"/>
      <c r="T339" s="5"/>
      <c r="U339" s="5"/>
      <c r="V339" s="5"/>
      <c r="W339" s="45"/>
    </row>
    <row r="340" spans="19:23" ht="15.75" customHeight="1" x14ac:dyDescent="0.45">
      <c r="S340" s="5"/>
      <c r="T340" s="5"/>
      <c r="U340" s="5"/>
      <c r="V340" s="5"/>
      <c r="W340" s="45"/>
    </row>
    <row r="341" spans="19:23" ht="15.75" customHeight="1" x14ac:dyDescent="0.45">
      <c r="S341" s="5"/>
      <c r="T341" s="5"/>
      <c r="U341" s="5"/>
      <c r="V341" s="5"/>
      <c r="W341" s="45"/>
    </row>
    <row r="342" spans="19:23" ht="15.75" customHeight="1" x14ac:dyDescent="0.45">
      <c r="S342" s="5"/>
      <c r="T342" s="5"/>
      <c r="U342" s="5"/>
      <c r="V342" s="5"/>
      <c r="W342" s="45"/>
    </row>
    <row r="343" spans="19:23" ht="15.75" customHeight="1" x14ac:dyDescent="0.45">
      <c r="S343" s="5"/>
      <c r="T343" s="5"/>
      <c r="U343" s="5"/>
      <c r="V343" s="5"/>
      <c r="W343" s="45"/>
    </row>
    <row r="344" spans="19:23" ht="15.75" customHeight="1" x14ac:dyDescent="0.45">
      <c r="S344" s="5"/>
      <c r="T344" s="5"/>
      <c r="U344" s="5"/>
      <c r="V344" s="5"/>
      <c r="W344" s="45"/>
    </row>
    <row r="345" spans="19:23" ht="15.75" customHeight="1" x14ac:dyDescent="0.45">
      <c r="S345" s="5"/>
      <c r="T345" s="5"/>
      <c r="U345" s="5"/>
      <c r="V345" s="5"/>
      <c r="W345" s="45"/>
    </row>
    <row r="346" spans="19:23" ht="15.75" customHeight="1" x14ac:dyDescent="0.45">
      <c r="S346" s="5"/>
      <c r="T346" s="5"/>
      <c r="U346" s="5"/>
      <c r="V346" s="5"/>
      <c r="W346" s="45"/>
    </row>
    <row r="347" spans="19:23" ht="15.75" customHeight="1" x14ac:dyDescent="0.45">
      <c r="S347" s="5"/>
      <c r="T347" s="5"/>
      <c r="U347" s="5"/>
      <c r="V347" s="5"/>
      <c r="W347" s="45"/>
    </row>
    <row r="348" spans="19:23" ht="15.75" customHeight="1" x14ac:dyDescent="0.45">
      <c r="S348" s="5"/>
      <c r="T348" s="5"/>
      <c r="U348" s="5"/>
      <c r="V348" s="5"/>
      <c r="W348" s="45"/>
    </row>
    <row r="349" spans="19:23" ht="15.75" customHeight="1" x14ac:dyDescent="0.45">
      <c r="S349" s="5"/>
      <c r="T349" s="5"/>
      <c r="U349" s="5"/>
      <c r="V349" s="5"/>
      <c r="W349" s="45"/>
    </row>
    <row r="350" spans="19:23" ht="15.75" customHeight="1" x14ac:dyDescent="0.45">
      <c r="S350" s="5"/>
      <c r="T350" s="5"/>
      <c r="U350" s="5"/>
      <c r="V350" s="5"/>
      <c r="W350" s="45"/>
    </row>
    <row r="351" spans="19:23" ht="15.75" customHeight="1" x14ac:dyDescent="0.45">
      <c r="S351" s="5"/>
      <c r="T351" s="5"/>
      <c r="U351" s="5"/>
      <c r="V351" s="5"/>
      <c r="W351" s="45"/>
    </row>
    <row r="352" spans="19:23" ht="15.75" customHeight="1" x14ac:dyDescent="0.45">
      <c r="S352" s="5"/>
      <c r="T352" s="5"/>
      <c r="U352" s="5"/>
      <c r="V352" s="5"/>
      <c r="W352" s="45"/>
    </row>
    <row r="353" spans="19:23" ht="15.75" customHeight="1" x14ac:dyDescent="0.45">
      <c r="S353" s="5"/>
      <c r="T353" s="5"/>
      <c r="U353" s="5"/>
      <c r="V353" s="5"/>
      <c r="W353" s="45"/>
    </row>
    <row r="354" spans="19:23" ht="15.75" customHeight="1" x14ac:dyDescent="0.45">
      <c r="S354" s="5"/>
      <c r="T354" s="5"/>
      <c r="U354" s="5"/>
      <c r="V354" s="5"/>
      <c r="W354" s="45"/>
    </row>
    <row r="355" spans="19:23" ht="15.75" customHeight="1" x14ac:dyDescent="0.45">
      <c r="S355" s="5"/>
      <c r="T355" s="5"/>
      <c r="U355" s="5"/>
      <c r="V355" s="5"/>
      <c r="W355" s="45"/>
    </row>
    <row r="356" spans="19:23" ht="15.75" customHeight="1" x14ac:dyDescent="0.45">
      <c r="S356" s="5"/>
      <c r="T356" s="5"/>
      <c r="U356" s="5"/>
      <c r="V356" s="5"/>
      <c r="W356" s="45"/>
    </row>
    <row r="357" spans="19:23" ht="15.75" customHeight="1" x14ac:dyDescent="0.45">
      <c r="S357" s="5"/>
      <c r="T357" s="5"/>
      <c r="U357" s="5"/>
      <c r="V357" s="5"/>
      <c r="W357" s="45"/>
    </row>
    <row r="358" spans="19:23" ht="15.75" customHeight="1" x14ac:dyDescent="0.45">
      <c r="S358" s="5"/>
      <c r="T358" s="5"/>
      <c r="U358" s="5"/>
      <c r="V358" s="5"/>
      <c r="W358" s="45"/>
    </row>
    <row r="359" spans="19:23" ht="15.75" customHeight="1" x14ac:dyDescent="0.45">
      <c r="S359" s="5"/>
      <c r="T359" s="5"/>
      <c r="U359" s="5"/>
      <c r="V359" s="5"/>
      <c r="W359" s="45"/>
    </row>
    <row r="360" spans="19:23" ht="15.75" customHeight="1" x14ac:dyDescent="0.45">
      <c r="S360" s="5"/>
      <c r="T360" s="5"/>
      <c r="U360" s="5"/>
      <c r="V360" s="5"/>
      <c r="W360" s="45"/>
    </row>
    <row r="361" spans="19:23" ht="15.75" customHeight="1" x14ac:dyDescent="0.45">
      <c r="S361" s="5"/>
      <c r="T361" s="5"/>
      <c r="U361" s="5"/>
      <c r="V361" s="5"/>
      <c r="W361" s="45"/>
    </row>
    <row r="362" spans="19:23" ht="15.75" customHeight="1" x14ac:dyDescent="0.45">
      <c r="S362" s="5"/>
      <c r="T362" s="5"/>
      <c r="U362" s="5"/>
      <c r="V362" s="5"/>
      <c r="W362" s="45"/>
    </row>
    <row r="363" spans="19:23" ht="15.75" customHeight="1" x14ac:dyDescent="0.45">
      <c r="S363" s="5"/>
      <c r="T363" s="5"/>
      <c r="U363" s="5"/>
      <c r="V363" s="5"/>
      <c r="W363" s="45"/>
    </row>
    <row r="364" spans="19:23" ht="15.75" customHeight="1" x14ac:dyDescent="0.45">
      <c r="S364" s="5"/>
      <c r="T364" s="5"/>
      <c r="U364" s="5"/>
      <c r="V364" s="5"/>
      <c r="W364" s="45"/>
    </row>
    <row r="365" spans="19:23" ht="15.75" customHeight="1" x14ac:dyDescent="0.45">
      <c r="S365" s="5"/>
      <c r="T365" s="5"/>
      <c r="U365" s="5"/>
      <c r="V365" s="5"/>
      <c r="W365" s="45"/>
    </row>
    <row r="366" spans="19:23" ht="15.75" customHeight="1" x14ac:dyDescent="0.45">
      <c r="S366" s="5"/>
      <c r="T366" s="5"/>
      <c r="U366" s="5"/>
      <c r="V366" s="5"/>
      <c r="W366" s="45"/>
    </row>
    <row r="367" spans="19:23" ht="15.75" customHeight="1" x14ac:dyDescent="0.45">
      <c r="S367" s="5"/>
      <c r="T367" s="5"/>
      <c r="U367" s="5"/>
      <c r="V367" s="5"/>
      <c r="W367" s="45"/>
    </row>
    <row r="368" spans="19:23" ht="15.75" customHeight="1" x14ac:dyDescent="0.45">
      <c r="S368" s="5"/>
      <c r="T368" s="5"/>
      <c r="U368" s="5"/>
      <c r="V368" s="5"/>
      <c r="W368" s="45"/>
    </row>
    <row r="369" spans="19:23" ht="15.75" customHeight="1" x14ac:dyDescent="0.45">
      <c r="S369" s="5"/>
      <c r="T369" s="5"/>
      <c r="U369" s="5"/>
      <c r="V369" s="5"/>
      <c r="W369" s="45"/>
    </row>
    <row r="370" spans="19:23" ht="15.75" customHeight="1" x14ac:dyDescent="0.45">
      <c r="S370" s="5"/>
      <c r="T370" s="5"/>
      <c r="U370" s="5"/>
      <c r="V370" s="5"/>
      <c r="W370" s="45"/>
    </row>
    <row r="371" spans="19:23" ht="15.75" customHeight="1" x14ac:dyDescent="0.45">
      <c r="S371" s="5"/>
      <c r="T371" s="5"/>
      <c r="U371" s="5"/>
      <c r="V371" s="5"/>
      <c r="W371" s="45"/>
    </row>
    <row r="372" spans="19:23" ht="15.75" customHeight="1" x14ac:dyDescent="0.45">
      <c r="S372" s="5"/>
      <c r="T372" s="5"/>
      <c r="U372" s="5"/>
      <c r="V372" s="5"/>
      <c r="W372" s="45"/>
    </row>
    <row r="373" spans="19:23" ht="15.75" customHeight="1" x14ac:dyDescent="0.45">
      <c r="S373" s="5"/>
      <c r="T373" s="5"/>
      <c r="U373" s="5"/>
      <c r="V373" s="5"/>
      <c r="W373" s="45"/>
    </row>
    <row r="374" spans="19:23" ht="15.75" customHeight="1" x14ac:dyDescent="0.45">
      <c r="S374" s="5"/>
      <c r="T374" s="5"/>
      <c r="U374" s="5"/>
      <c r="V374" s="5"/>
      <c r="W374" s="45"/>
    </row>
    <row r="375" spans="19:23" ht="15.75" customHeight="1" x14ac:dyDescent="0.45">
      <c r="S375" s="5"/>
      <c r="T375" s="5"/>
      <c r="U375" s="5"/>
      <c r="V375" s="5"/>
      <c r="W375" s="45"/>
    </row>
    <row r="376" spans="19:23" ht="15.75" customHeight="1" x14ac:dyDescent="0.45">
      <c r="S376" s="5"/>
      <c r="T376" s="5"/>
      <c r="U376" s="5"/>
      <c r="V376" s="5"/>
      <c r="W376" s="45"/>
    </row>
    <row r="377" spans="19:23" ht="15.75" customHeight="1" x14ac:dyDescent="0.45">
      <c r="S377" s="5"/>
      <c r="T377" s="5"/>
      <c r="U377" s="5"/>
      <c r="V377" s="5"/>
      <c r="W377" s="45"/>
    </row>
    <row r="378" spans="19:23" ht="15.75" customHeight="1" x14ac:dyDescent="0.45">
      <c r="S378" s="5"/>
      <c r="T378" s="5"/>
      <c r="U378" s="5"/>
      <c r="V378" s="5"/>
      <c r="W378" s="45"/>
    </row>
    <row r="379" spans="19:23" ht="15.75" customHeight="1" x14ac:dyDescent="0.45">
      <c r="S379" s="5"/>
      <c r="T379" s="5"/>
      <c r="U379" s="5"/>
      <c r="V379" s="5"/>
      <c r="W379" s="45"/>
    </row>
    <row r="380" spans="19:23" ht="15.75" customHeight="1" x14ac:dyDescent="0.45">
      <c r="S380" s="5"/>
      <c r="T380" s="5"/>
      <c r="U380" s="5"/>
      <c r="V380" s="5"/>
      <c r="W380" s="45"/>
    </row>
    <row r="381" spans="19:23" ht="15.75" customHeight="1" x14ac:dyDescent="0.45">
      <c r="S381" s="5"/>
      <c r="T381" s="5"/>
      <c r="U381" s="5"/>
      <c r="V381" s="5"/>
      <c r="W381" s="45"/>
    </row>
    <row r="382" spans="19:23" ht="15.75" customHeight="1" x14ac:dyDescent="0.45">
      <c r="S382" s="5"/>
      <c r="T382" s="5"/>
      <c r="U382" s="5"/>
      <c r="V382" s="5"/>
      <c r="W382" s="45"/>
    </row>
    <row r="383" spans="19:23" ht="15.75" customHeight="1" x14ac:dyDescent="0.45">
      <c r="S383" s="5"/>
      <c r="T383" s="5"/>
      <c r="U383" s="5"/>
      <c r="V383" s="5"/>
      <c r="W383" s="45"/>
    </row>
    <row r="384" spans="19:23" ht="15.75" customHeight="1" x14ac:dyDescent="0.45">
      <c r="S384" s="5"/>
      <c r="T384" s="5"/>
      <c r="U384" s="5"/>
      <c r="V384" s="5"/>
      <c r="W384" s="45"/>
    </row>
    <row r="385" spans="19:23" ht="15.75" customHeight="1" x14ac:dyDescent="0.45">
      <c r="S385" s="5"/>
      <c r="T385" s="5"/>
      <c r="U385" s="5"/>
      <c r="V385" s="5"/>
      <c r="W385" s="45"/>
    </row>
    <row r="386" spans="19:23" ht="15.75" customHeight="1" x14ac:dyDescent="0.45">
      <c r="S386" s="5"/>
      <c r="T386" s="5"/>
      <c r="U386" s="5"/>
      <c r="V386" s="5"/>
      <c r="W386" s="45"/>
    </row>
    <row r="387" spans="19:23" ht="15.75" customHeight="1" x14ac:dyDescent="0.45">
      <c r="S387" s="5"/>
      <c r="T387" s="5"/>
      <c r="U387" s="5"/>
      <c r="V387" s="5"/>
      <c r="W387" s="45"/>
    </row>
    <row r="388" spans="19:23" ht="15.75" customHeight="1" x14ac:dyDescent="0.45">
      <c r="S388" s="5"/>
      <c r="T388" s="5"/>
      <c r="U388" s="5"/>
      <c r="V388" s="5"/>
      <c r="W388" s="45"/>
    </row>
    <row r="389" spans="19:23" ht="15.75" customHeight="1" x14ac:dyDescent="0.45">
      <c r="S389" s="5"/>
      <c r="T389" s="5"/>
      <c r="U389" s="5"/>
      <c r="V389" s="5"/>
      <c r="W389" s="45"/>
    </row>
    <row r="390" spans="19:23" ht="15.75" customHeight="1" x14ac:dyDescent="0.45">
      <c r="S390" s="5"/>
      <c r="T390" s="5"/>
      <c r="U390" s="5"/>
      <c r="V390" s="5"/>
      <c r="W390" s="45"/>
    </row>
    <row r="391" spans="19:23" ht="15.75" customHeight="1" x14ac:dyDescent="0.45">
      <c r="S391" s="5"/>
      <c r="T391" s="5"/>
      <c r="U391" s="5"/>
      <c r="V391" s="5"/>
      <c r="W391" s="45"/>
    </row>
    <row r="392" spans="19:23" ht="15.75" customHeight="1" x14ac:dyDescent="0.45">
      <c r="S392" s="5"/>
      <c r="T392" s="5"/>
      <c r="U392" s="5"/>
      <c r="V392" s="5"/>
      <c r="W392" s="45"/>
    </row>
    <row r="393" spans="19:23" ht="15.75" customHeight="1" x14ac:dyDescent="0.45">
      <c r="S393" s="5"/>
      <c r="T393" s="5"/>
      <c r="U393" s="5"/>
      <c r="V393" s="5"/>
      <c r="W393" s="45"/>
    </row>
    <row r="394" spans="19:23" ht="15.75" customHeight="1" x14ac:dyDescent="0.45">
      <c r="S394" s="5"/>
      <c r="T394" s="5"/>
      <c r="U394" s="5"/>
      <c r="V394" s="5"/>
      <c r="W394" s="45"/>
    </row>
    <row r="395" spans="19:23" ht="15.75" customHeight="1" x14ac:dyDescent="0.45">
      <c r="S395" s="5"/>
      <c r="T395" s="5"/>
      <c r="U395" s="5"/>
      <c r="V395" s="5"/>
      <c r="W395" s="45"/>
    </row>
    <row r="396" spans="19:23" ht="15.75" customHeight="1" x14ac:dyDescent="0.45">
      <c r="S396" s="5"/>
      <c r="T396" s="5"/>
      <c r="U396" s="5"/>
      <c r="V396" s="5"/>
      <c r="W396" s="45"/>
    </row>
    <row r="397" spans="19:23" ht="15.75" customHeight="1" x14ac:dyDescent="0.45">
      <c r="S397" s="5"/>
      <c r="T397" s="5"/>
      <c r="U397" s="5"/>
      <c r="V397" s="5"/>
      <c r="W397" s="45"/>
    </row>
    <row r="398" spans="19:23" ht="15.75" customHeight="1" x14ac:dyDescent="0.45">
      <c r="S398" s="5"/>
      <c r="T398" s="5"/>
      <c r="U398" s="5"/>
      <c r="V398" s="5"/>
      <c r="W398" s="45"/>
    </row>
    <row r="399" spans="19:23" ht="15.75" customHeight="1" x14ac:dyDescent="0.45">
      <c r="S399" s="5"/>
      <c r="T399" s="5"/>
      <c r="U399" s="5"/>
      <c r="V399" s="5"/>
      <c r="W399" s="45"/>
    </row>
    <row r="400" spans="19:23" ht="15.75" customHeight="1" x14ac:dyDescent="0.45">
      <c r="S400" s="5"/>
      <c r="T400" s="5"/>
      <c r="U400" s="5"/>
      <c r="V400" s="5"/>
      <c r="W400" s="45"/>
    </row>
    <row r="401" spans="19:23" ht="15.75" customHeight="1" x14ac:dyDescent="0.45">
      <c r="S401" s="5"/>
      <c r="T401" s="5"/>
      <c r="U401" s="5"/>
      <c r="V401" s="5"/>
      <c r="W401" s="45"/>
    </row>
    <row r="402" spans="19:23" ht="15.75" customHeight="1" x14ac:dyDescent="0.45">
      <c r="S402" s="5"/>
      <c r="T402" s="5"/>
      <c r="U402" s="5"/>
      <c r="V402" s="5"/>
      <c r="W402" s="45"/>
    </row>
    <row r="403" spans="19:23" ht="15.75" customHeight="1" x14ac:dyDescent="0.45">
      <c r="S403" s="5"/>
      <c r="T403" s="5"/>
      <c r="U403" s="5"/>
      <c r="V403" s="5"/>
      <c r="W403" s="45"/>
    </row>
    <row r="404" spans="19:23" ht="15.75" customHeight="1" x14ac:dyDescent="0.45">
      <c r="S404" s="5"/>
      <c r="T404" s="5"/>
      <c r="U404" s="5"/>
      <c r="V404" s="5"/>
      <c r="W404" s="45"/>
    </row>
    <row r="405" spans="19:23" ht="15.75" customHeight="1" x14ac:dyDescent="0.45">
      <c r="S405" s="5"/>
      <c r="T405" s="5"/>
      <c r="U405" s="5"/>
      <c r="V405" s="5"/>
      <c r="W405" s="45"/>
    </row>
    <row r="406" spans="19:23" ht="15.75" customHeight="1" x14ac:dyDescent="0.45">
      <c r="S406" s="5"/>
      <c r="T406" s="5"/>
      <c r="U406" s="5"/>
      <c r="V406" s="5"/>
      <c r="W406" s="45"/>
    </row>
    <row r="407" spans="19:23" ht="15.75" customHeight="1" x14ac:dyDescent="0.45">
      <c r="S407" s="5"/>
      <c r="T407" s="5"/>
      <c r="U407" s="5"/>
      <c r="V407" s="5"/>
      <c r="W407" s="45"/>
    </row>
    <row r="408" spans="19:23" ht="15.75" customHeight="1" x14ac:dyDescent="0.45">
      <c r="S408" s="5"/>
      <c r="T408" s="5"/>
      <c r="U408" s="5"/>
      <c r="V408" s="5"/>
      <c r="W408" s="45"/>
    </row>
    <row r="409" spans="19:23" ht="15.75" customHeight="1" x14ac:dyDescent="0.45">
      <c r="S409" s="5"/>
      <c r="T409" s="5"/>
      <c r="U409" s="5"/>
      <c r="V409" s="5"/>
      <c r="W409" s="45"/>
    </row>
    <row r="410" spans="19:23" ht="15.75" customHeight="1" x14ac:dyDescent="0.45">
      <c r="S410" s="5"/>
      <c r="T410" s="5"/>
      <c r="U410" s="5"/>
      <c r="V410" s="5"/>
      <c r="W410" s="45"/>
    </row>
    <row r="411" spans="19:23" ht="15.75" customHeight="1" x14ac:dyDescent="0.45">
      <c r="S411" s="5"/>
      <c r="T411" s="5"/>
      <c r="U411" s="5"/>
      <c r="V411" s="5"/>
      <c r="W411" s="45"/>
    </row>
    <row r="412" spans="19:23" ht="15.75" customHeight="1" x14ac:dyDescent="0.45">
      <c r="S412" s="5"/>
      <c r="T412" s="5"/>
      <c r="U412" s="5"/>
      <c r="V412" s="5"/>
      <c r="W412" s="45"/>
    </row>
    <row r="413" spans="19:23" ht="15.75" customHeight="1" x14ac:dyDescent="0.45">
      <c r="S413" s="5"/>
      <c r="T413" s="5"/>
      <c r="U413" s="5"/>
      <c r="V413" s="5"/>
      <c r="W413" s="45"/>
    </row>
    <row r="414" spans="19:23" ht="15.75" customHeight="1" x14ac:dyDescent="0.45">
      <c r="S414" s="5"/>
      <c r="T414" s="5"/>
      <c r="U414" s="5"/>
      <c r="V414" s="5"/>
      <c r="W414" s="45"/>
    </row>
    <row r="415" spans="19:23" ht="15.75" customHeight="1" x14ac:dyDescent="0.45">
      <c r="S415" s="5"/>
      <c r="T415" s="5"/>
      <c r="U415" s="5"/>
      <c r="V415" s="5"/>
      <c r="W415" s="45"/>
    </row>
    <row r="416" spans="19:23" ht="15.75" customHeight="1" x14ac:dyDescent="0.45">
      <c r="S416" s="5"/>
      <c r="T416" s="5"/>
      <c r="U416" s="5"/>
      <c r="V416" s="5"/>
      <c r="W416" s="45"/>
    </row>
    <row r="417" spans="19:23" ht="15.75" customHeight="1" x14ac:dyDescent="0.45">
      <c r="S417" s="5"/>
      <c r="T417" s="5"/>
      <c r="U417" s="5"/>
      <c r="V417" s="5"/>
      <c r="W417" s="45"/>
    </row>
    <row r="418" spans="19:23" ht="15.75" customHeight="1" x14ac:dyDescent="0.45">
      <c r="S418" s="5"/>
      <c r="T418" s="5"/>
      <c r="U418" s="5"/>
      <c r="V418" s="5"/>
      <c r="W418" s="45"/>
    </row>
    <row r="419" spans="19:23" ht="15.75" customHeight="1" x14ac:dyDescent="0.45">
      <c r="S419" s="5"/>
      <c r="T419" s="5"/>
      <c r="U419" s="5"/>
      <c r="V419" s="5"/>
      <c r="W419" s="45"/>
    </row>
    <row r="420" spans="19:23" ht="15.75" customHeight="1" x14ac:dyDescent="0.45">
      <c r="S420" s="5"/>
      <c r="T420" s="5"/>
      <c r="U420" s="5"/>
      <c r="V420" s="5"/>
      <c r="W420" s="45"/>
    </row>
    <row r="421" spans="19:23" ht="15.75" customHeight="1" x14ac:dyDescent="0.45">
      <c r="S421" s="5"/>
      <c r="T421" s="5"/>
      <c r="U421" s="5"/>
      <c r="V421" s="5"/>
      <c r="W421" s="45"/>
    </row>
    <row r="422" spans="19:23" ht="15.75" customHeight="1" x14ac:dyDescent="0.45">
      <c r="S422" s="5"/>
      <c r="T422" s="5"/>
      <c r="U422" s="5"/>
      <c r="V422" s="5"/>
      <c r="W422" s="45"/>
    </row>
    <row r="423" spans="19:23" ht="15.75" customHeight="1" x14ac:dyDescent="0.45">
      <c r="S423" s="5"/>
      <c r="T423" s="5"/>
      <c r="U423" s="5"/>
      <c r="V423" s="5"/>
      <c r="W423" s="45"/>
    </row>
    <row r="424" spans="19:23" ht="15.75" customHeight="1" x14ac:dyDescent="0.45">
      <c r="S424" s="5"/>
      <c r="T424" s="5"/>
      <c r="U424" s="5"/>
      <c r="V424" s="5"/>
      <c r="W424" s="45"/>
    </row>
    <row r="425" spans="19:23" ht="15.75" customHeight="1" x14ac:dyDescent="0.45">
      <c r="S425" s="5"/>
      <c r="T425" s="5"/>
      <c r="U425" s="5"/>
      <c r="V425" s="5"/>
      <c r="W425" s="45"/>
    </row>
    <row r="426" spans="19:23" ht="15.75" customHeight="1" x14ac:dyDescent="0.45">
      <c r="S426" s="5"/>
      <c r="T426" s="5"/>
      <c r="U426" s="5"/>
      <c r="V426" s="5"/>
      <c r="W426" s="45"/>
    </row>
    <row r="427" spans="19:23" ht="15.75" customHeight="1" x14ac:dyDescent="0.45">
      <c r="S427" s="5"/>
      <c r="T427" s="5"/>
      <c r="U427" s="5"/>
      <c r="V427" s="5"/>
      <c r="W427" s="45"/>
    </row>
    <row r="428" spans="19:23" ht="15.75" customHeight="1" x14ac:dyDescent="0.45">
      <c r="S428" s="5"/>
      <c r="T428" s="5"/>
      <c r="U428" s="5"/>
      <c r="V428" s="5"/>
      <c r="W428" s="45"/>
    </row>
    <row r="429" spans="19:23" ht="15.75" customHeight="1" x14ac:dyDescent="0.45">
      <c r="S429" s="5"/>
      <c r="T429" s="5"/>
      <c r="U429" s="5"/>
      <c r="V429" s="5"/>
      <c r="W429" s="45"/>
    </row>
    <row r="430" spans="19:23" ht="15.75" customHeight="1" x14ac:dyDescent="0.45">
      <c r="S430" s="5"/>
      <c r="T430" s="5"/>
      <c r="U430" s="5"/>
      <c r="V430" s="5"/>
      <c r="W430" s="45"/>
    </row>
    <row r="431" spans="19:23" ht="15.75" customHeight="1" x14ac:dyDescent="0.45">
      <c r="S431" s="5"/>
      <c r="T431" s="5"/>
      <c r="U431" s="5"/>
      <c r="V431" s="5"/>
      <c r="W431" s="45"/>
    </row>
    <row r="432" spans="19:23" ht="15.75" customHeight="1" x14ac:dyDescent="0.45">
      <c r="S432" s="5"/>
      <c r="T432" s="5"/>
      <c r="U432" s="5"/>
      <c r="V432" s="5"/>
      <c r="W432" s="45"/>
    </row>
    <row r="433" spans="19:23" ht="15.75" customHeight="1" x14ac:dyDescent="0.45">
      <c r="S433" s="5"/>
      <c r="T433" s="5"/>
      <c r="U433" s="5"/>
      <c r="V433" s="5"/>
      <c r="W433" s="45"/>
    </row>
    <row r="434" spans="19:23" ht="15.75" customHeight="1" x14ac:dyDescent="0.45">
      <c r="S434" s="5"/>
      <c r="T434" s="5"/>
      <c r="U434" s="5"/>
      <c r="V434" s="5"/>
      <c r="W434" s="45"/>
    </row>
    <row r="435" spans="19:23" ht="15.75" customHeight="1" x14ac:dyDescent="0.45">
      <c r="S435" s="5"/>
      <c r="T435" s="5"/>
      <c r="U435" s="5"/>
      <c r="V435" s="5"/>
      <c r="W435" s="45"/>
    </row>
    <row r="436" spans="19:23" ht="15.75" customHeight="1" x14ac:dyDescent="0.45">
      <c r="S436" s="5"/>
      <c r="T436" s="5"/>
      <c r="U436" s="5"/>
      <c r="V436" s="5"/>
      <c r="W436" s="45"/>
    </row>
    <row r="437" spans="19:23" ht="15.75" customHeight="1" x14ac:dyDescent="0.45">
      <c r="S437" s="5"/>
      <c r="T437" s="5"/>
      <c r="U437" s="5"/>
      <c r="V437" s="5"/>
      <c r="W437" s="45"/>
    </row>
    <row r="438" spans="19:23" ht="15.75" customHeight="1" x14ac:dyDescent="0.45">
      <c r="S438" s="5"/>
      <c r="T438" s="5"/>
      <c r="U438" s="5"/>
      <c r="V438" s="5"/>
      <c r="W438" s="45"/>
    </row>
    <row r="439" spans="19:23" ht="15.75" customHeight="1" x14ac:dyDescent="0.45">
      <c r="S439" s="5"/>
      <c r="T439" s="5"/>
      <c r="U439" s="5"/>
      <c r="V439" s="5"/>
      <c r="W439" s="45"/>
    </row>
    <row r="440" spans="19:23" ht="15.75" customHeight="1" x14ac:dyDescent="0.45">
      <c r="S440" s="5"/>
      <c r="T440" s="5"/>
      <c r="U440" s="5"/>
      <c r="V440" s="5"/>
      <c r="W440" s="45"/>
    </row>
    <row r="441" spans="19:23" ht="15.75" customHeight="1" x14ac:dyDescent="0.45">
      <c r="S441" s="5"/>
      <c r="T441" s="5"/>
      <c r="U441" s="5"/>
      <c r="V441" s="5"/>
      <c r="W441" s="45"/>
    </row>
    <row r="442" spans="19:23" ht="15.75" customHeight="1" x14ac:dyDescent="0.45">
      <c r="S442" s="5"/>
      <c r="T442" s="5"/>
      <c r="U442" s="5"/>
      <c r="V442" s="5"/>
      <c r="W442" s="45"/>
    </row>
    <row r="443" spans="19:23" ht="15.75" customHeight="1" x14ac:dyDescent="0.45">
      <c r="S443" s="5"/>
      <c r="T443" s="5"/>
      <c r="U443" s="5"/>
      <c r="V443" s="5"/>
      <c r="W443" s="45"/>
    </row>
    <row r="444" spans="19:23" ht="15.75" customHeight="1" x14ac:dyDescent="0.45">
      <c r="S444" s="5"/>
      <c r="T444" s="5"/>
      <c r="U444" s="5"/>
      <c r="V444" s="5"/>
      <c r="W444" s="45"/>
    </row>
    <row r="445" spans="19:23" ht="15.75" customHeight="1" x14ac:dyDescent="0.45">
      <c r="S445" s="5"/>
      <c r="T445" s="5"/>
      <c r="U445" s="5"/>
      <c r="V445" s="5"/>
      <c r="W445" s="45"/>
    </row>
    <row r="446" spans="19:23" ht="15.75" customHeight="1" x14ac:dyDescent="0.45">
      <c r="S446" s="5"/>
      <c r="T446" s="5"/>
      <c r="U446" s="5"/>
      <c r="V446" s="5"/>
      <c r="W446" s="45"/>
    </row>
    <row r="447" spans="19:23" ht="15.75" customHeight="1" x14ac:dyDescent="0.45">
      <c r="S447" s="5"/>
      <c r="T447" s="5"/>
      <c r="U447" s="5"/>
      <c r="V447" s="5"/>
      <c r="W447" s="45"/>
    </row>
    <row r="448" spans="19:23" ht="15.75" customHeight="1" x14ac:dyDescent="0.45">
      <c r="S448" s="5"/>
      <c r="T448" s="5"/>
      <c r="U448" s="5"/>
      <c r="V448" s="5"/>
      <c r="W448" s="45"/>
    </row>
    <row r="449" spans="19:23" ht="15.75" customHeight="1" x14ac:dyDescent="0.45">
      <c r="S449" s="5"/>
      <c r="T449" s="5"/>
      <c r="U449" s="5"/>
      <c r="V449" s="5"/>
      <c r="W449" s="45"/>
    </row>
    <row r="450" spans="19:23" ht="15.75" customHeight="1" x14ac:dyDescent="0.45">
      <c r="S450" s="5"/>
      <c r="T450" s="5"/>
      <c r="U450" s="5"/>
      <c r="V450" s="5"/>
      <c r="W450" s="45"/>
    </row>
    <row r="451" spans="19:23" ht="15.75" customHeight="1" x14ac:dyDescent="0.45">
      <c r="S451" s="5"/>
      <c r="T451" s="5"/>
      <c r="U451" s="5"/>
      <c r="V451" s="5"/>
      <c r="W451" s="45"/>
    </row>
    <row r="452" spans="19:23" ht="15.75" customHeight="1" x14ac:dyDescent="0.45">
      <c r="S452" s="5"/>
      <c r="T452" s="5"/>
      <c r="U452" s="5"/>
      <c r="V452" s="5"/>
      <c r="W452" s="45"/>
    </row>
    <row r="453" spans="19:23" ht="15.75" customHeight="1" x14ac:dyDescent="0.45">
      <c r="S453" s="5"/>
      <c r="T453" s="5"/>
      <c r="U453" s="5"/>
      <c r="V453" s="5"/>
      <c r="W453" s="45"/>
    </row>
    <row r="454" spans="19:23" ht="15.75" customHeight="1" x14ac:dyDescent="0.45">
      <c r="S454" s="5"/>
      <c r="T454" s="5"/>
      <c r="U454" s="5"/>
      <c r="V454" s="5"/>
      <c r="W454" s="45"/>
    </row>
    <row r="455" spans="19:23" ht="15.75" customHeight="1" x14ac:dyDescent="0.45">
      <c r="S455" s="5"/>
      <c r="T455" s="5"/>
      <c r="U455" s="5"/>
      <c r="V455" s="5"/>
      <c r="W455" s="45"/>
    </row>
    <row r="456" spans="19:23" ht="15.75" customHeight="1" x14ac:dyDescent="0.45">
      <c r="S456" s="5"/>
      <c r="T456" s="5"/>
      <c r="U456" s="5"/>
      <c r="V456" s="5"/>
      <c r="W456" s="45"/>
    </row>
    <row r="457" spans="19:23" ht="15.75" customHeight="1" x14ac:dyDescent="0.45">
      <c r="S457" s="5"/>
      <c r="T457" s="5"/>
      <c r="U457" s="5"/>
      <c r="V457" s="5"/>
      <c r="W457" s="45"/>
    </row>
    <row r="458" spans="19:23" ht="15.75" customHeight="1" x14ac:dyDescent="0.45">
      <c r="S458" s="5"/>
      <c r="T458" s="5"/>
      <c r="U458" s="5"/>
      <c r="V458" s="5"/>
      <c r="W458" s="45"/>
    </row>
    <row r="459" spans="19:23" ht="15.75" customHeight="1" x14ac:dyDescent="0.45">
      <c r="S459" s="5"/>
      <c r="T459" s="5"/>
      <c r="U459" s="5"/>
      <c r="V459" s="5"/>
      <c r="W459" s="45"/>
    </row>
    <row r="460" spans="19:23" ht="15.75" customHeight="1" x14ac:dyDescent="0.45">
      <c r="S460" s="5"/>
      <c r="T460" s="5"/>
      <c r="U460" s="5"/>
      <c r="V460" s="5"/>
      <c r="W460" s="45"/>
    </row>
    <row r="461" spans="19:23" ht="15.75" customHeight="1" x14ac:dyDescent="0.45">
      <c r="S461" s="5"/>
      <c r="T461" s="5"/>
      <c r="U461" s="5"/>
      <c r="V461" s="5"/>
      <c r="W461" s="45"/>
    </row>
    <row r="462" spans="19:23" ht="15.75" customHeight="1" x14ac:dyDescent="0.45">
      <c r="S462" s="5"/>
      <c r="T462" s="5"/>
      <c r="U462" s="5"/>
      <c r="V462" s="5"/>
      <c r="W462" s="45"/>
    </row>
    <row r="463" spans="19:23" ht="15.75" customHeight="1" x14ac:dyDescent="0.45">
      <c r="S463" s="5"/>
      <c r="T463" s="5"/>
      <c r="U463" s="5"/>
      <c r="V463" s="5"/>
      <c r="W463" s="45"/>
    </row>
    <row r="464" spans="19:23" ht="15.75" customHeight="1" x14ac:dyDescent="0.45">
      <c r="S464" s="5"/>
      <c r="T464" s="5"/>
      <c r="U464" s="5"/>
      <c r="V464" s="5"/>
      <c r="W464" s="45"/>
    </row>
    <row r="465" spans="19:23" ht="15.75" customHeight="1" x14ac:dyDescent="0.45">
      <c r="S465" s="5"/>
      <c r="T465" s="5"/>
      <c r="U465" s="5"/>
      <c r="V465" s="5"/>
      <c r="W465" s="45"/>
    </row>
    <row r="466" spans="19:23" ht="15.75" customHeight="1" x14ac:dyDescent="0.45">
      <c r="S466" s="5"/>
      <c r="T466" s="5"/>
      <c r="U466" s="5"/>
      <c r="V466" s="5"/>
      <c r="W466" s="45"/>
    </row>
    <row r="467" spans="19:23" ht="15.75" customHeight="1" x14ac:dyDescent="0.45">
      <c r="S467" s="5"/>
      <c r="T467" s="5"/>
      <c r="U467" s="5"/>
      <c r="V467" s="5"/>
      <c r="W467" s="45"/>
    </row>
    <row r="468" spans="19:23" ht="15.75" customHeight="1" x14ac:dyDescent="0.45">
      <c r="S468" s="5"/>
      <c r="T468" s="5"/>
      <c r="U468" s="5"/>
      <c r="V468" s="5"/>
      <c r="W468" s="45"/>
    </row>
    <row r="469" spans="19:23" ht="15.75" customHeight="1" x14ac:dyDescent="0.45">
      <c r="S469" s="5"/>
      <c r="T469" s="5"/>
      <c r="U469" s="5"/>
      <c r="V469" s="5"/>
      <c r="W469" s="45"/>
    </row>
    <row r="470" spans="19:23" ht="15.75" customHeight="1" x14ac:dyDescent="0.45">
      <c r="S470" s="5"/>
      <c r="T470" s="5"/>
      <c r="U470" s="5"/>
      <c r="V470" s="5"/>
      <c r="W470" s="45"/>
    </row>
    <row r="471" spans="19:23" ht="15.75" customHeight="1" x14ac:dyDescent="0.45">
      <c r="S471" s="5"/>
      <c r="T471" s="5"/>
      <c r="U471" s="5"/>
      <c r="V471" s="5"/>
      <c r="W471" s="45"/>
    </row>
    <row r="472" spans="19:23" ht="15.75" customHeight="1" x14ac:dyDescent="0.45">
      <c r="S472" s="5"/>
      <c r="T472" s="5"/>
      <c r="U472" s="5"/>
      <c r="V472" s="5"/>
      <c r="W472" s="45"/>
    </row>
    <row r="473" spans="19:23" ht="15.75" customHeight="1" x14ac:dyDescent="0.45">
      <c r="S473" s="5"/>
      <c r="T473" s="5"/>
      <c r="U473" s="5"/>
      <c r="V473" s="5"/>
      <c r="W473" s="45"/>
    </row>
    <row r="474" spans="19:23" ht="15.75" customHeight="1" x14ac:dyDescent="0.45">
      <c r="S474" s="5"/>
      <c r="T474" s="5"/>
      <c r="U474" s="5"/>
      <c r="V474" s="5"/>
      <c r="W474" s="45"/>
    </row>
    <row r="475" spans="19:23" ht="15.75" customHeight="1" x14ac:dyDescent="0.45">
      <c r="S475" s="5"/>
      <c r="T475" s="5"/>
      <c r="U475" s="5"/>
      <c r="V475" s="5"/>
      <c r="W475" s="45"/>
    </row>
    <row r="476" spans="19:23" ht="15.75" customHeight="1" x14ac:dyDescent="0.45">
      <c r="S476" s="5"/>
      <c r="T476" s="5"/>
      <c r="U476" s="5"/>
      <c r="V476" s="5"/>
      <c r="W476" s="45"/>
    </row>
    <row r="477" spans="19:23" ht="15.75" customHeight="1" x14ac:dyDescent="0.45">
      <c r="S477" s="5"/>
      <c r="T477" s="5"/>
      <c r="U477" s="5"/>
      <c r="V477" s="5"/>
      <c r="W477" s="45"/>
    </row>
    <row r="478" spans="19:23" ht="15.75" customHeight="1" x14ac:dyDescent="0.45">
      <c r="S478" s="5"/>
      <c r="T478" s="5"/>
      <c r="U478" s="5"/>
      <c r="V478" s="5"/>
      <c r="W478" s="45"/>
    </row>
    <row r="479" spans="19:23" ht="15.75" customHeight="1" x14ac:dyDescent="0.45">
      <c r="S479" s="5"/>
      <c r="T479" s="5"/>
      <c r="U479" s="5"/>
      <c r="V479" s="5"/>
      <c r="W479" s="45"/>
    </row>
    <row r="480" spans="19:23" ht="15.75" customHeight="1" x14ac:dyDescent="0.45">
      <c r="S480" s="5"/>
      <c r="T480" s="5"/>
      <c r="U480" s="5"/>
      <c r="V480" s="5"/>
      <c r="W480" s="45"/>
    </row>
    <row r="481" spans="19:23" ht="15.75" customHeight="1" x14ac:dyDescent="0.45">
      <c r="S481" s="5"/>
      <c r="T481" s="5"/>
      <c r="U481" s="5"/>
      <c r="V481" s="5"/>
      <c r="W481" s="45"/>
    </row>
    <row r="482" spans="19:23" ht="15.75" customHeight="1" x14ac:dyDescent="0.45">
      <c r="S482" s="5"/>
      <c r="T482" s="5"/>
      <c r="U482" s="5"/>
      <c r="V482" s="5"/>
      <c r="W482" s="45"/>
    </row>
    <row r="483" spans="19:23" ht="15.75" customHeight="1" x14ac:dyDescent="0.45">
      <c r="S483" s="5"/>
      <c r="T483" s="5"/>
      <c r="U483" s="5"/>
      <c r="V483" s="5"/>
      <c r="W483" s="45"/>
    </row>
    <row r="484" spans="19:23" ht="15.75" customHeight="1" x14ac:dyDescent="0.45">
      <c r="S484" s="5"/>
      <c r="T484" s="5"/>
      <c r="U484" s="5"/>
      <c r="V484" s="5"/>
      <c r="W484" s="45"/>
    </row>
    <row r="485" spans="19:23" ht="15.75" customHeight="1" x14ac:dyDescent="0.45">
      <c r="S485" s="5"/>
      <c r="T485" s="5"/>
      <c r="U485" s="5"/>
      <c r="V485" s="5"/>
      <c r="W485" s="45"/>
    </row>
    <row r="486" spans="19:23" ht="15.75" customHeight="1" x14ac:dyDescent="0.45">
      <c r="S486" s="5"/>
      <c r="T486" s="5"/>
      <c r="U486" s="5"/>
      <c r="V486" s="5"/>
      <c r="W486" s="45"/>
    </row>
    <row r="487" spans="19:23" ht="15.75" customHeight="1" x14ac:dyDescent="0.45">
      <c r="S487" s="5"/>
      <c r="T487" s="5"/>
      <c r="U487" s="5"/>
      <c r="V487" s="5"/>
      <c r="W487" s="45"/>
    </row>
    <row r="488" spans="19:23" ht="15.75" customHeight="1" x14ac:dyDescent="0.45">
      <c r="S488" s="5"/>
      <c r="T488" s="5"/>
      <c r="U488" s="5"/>
      <c r="V488" s="5"/>
      <c r="W488" s="45"/>
    </row>
    <row r="489" spans="19:23" ht="15.75" customHeight="1" x14ac:dyDescent="0.45">
      <c r="S489" s="5"/>
      <c r="T489" s="5"/>
      <c r="U489" s="5"/>
      <c r="V489" s="5"/>
      <c r="W489" s="45"/>
    </row>
    <row r="490" spans="19:23" ht="15.75" customHeight="1" x14ac:dyDescent="0.45">
      <c r="S490" s="5"/>
      <c r="T490" s="5"/>
      <c r="U490" s="5"/>
      <c r="V490" s="5"/>
      <c r="W490" s="45"/>
    </row>
    <row r="491" spans="19:23" ht="15.75" customHeight="1" x14ac:dyDescent="0.45">
      <c r="S491" s="5"/>
      <c r="T491" s="5"/>
      <c r="U491" s="5"/>
      <c r="V491" s="5"/>
      <c r="W491" s="45"/>
    </row>
    <row r="492" spans="19:23" ht="15.75" customHeight="1" x14ac:dyDescent="0.45">
      <c r="S492" s="5"/>
      <c r="T492" s="5"/>
      <c r="U492" s="5"/>
      <c r="V492" s="5"/>
      <c r="W492" s="45"/>
    </row>
    <row r="493" spans="19:23" ht="15.75" customHeight="1" x14ac:dyDescent="0.45">
      <c r="S493" s="5"/>
      <c r="T493" s="5"/>
      <c r="U493" s="5"/>
      <c r="V493" s="5"/>
      <c r="W493" s="45"/>
    </row>
    <row r="494" spans="19:23" ht="15.75" customHeight="1" x14ac:dyDescent="0.45">
      <c r="S494" s="5"/>
      <c r="T494" s="5"/>
      <c r="U494" s="5"/>
      <c r="V494" s="5"/>
      <c r="W494" s="45"/>
    </row>
    <row r="495" spans="19:23" ht="15.75" customHeight="1" x14ac:dyDescent="0.45">
      <c r="S495" s="5"/>
      <c r="T495" s="5"/>
      <c r="U495" s="5"/>
      <c r="V495" s="5"/>
      <c r="W495" s="45"/>
    </row>
    <row r="496" spans="19:23" ht="15.75" customHeight="1" x14ac:dyDescent="0.45">
      <c r="S496" s="5"/>
      <c r="T496" s="5"/>
      <c r="U496" s="5"/>
      <c r="V496" s="5"/>
      <c r="W496" s="45"/>
    </row>
    <row r="497" spans="19:23" ht="15.75" customHeight="1" x14ac:dyDescent="0.45">
      <c r="S497" s="5"/>
      <c r="T497" s="5"/>
      <c r="U497" s="5"/>
      <c r="V497" s="5"/>
      <c r="W497" s="45"/>
    </row>
    <row r="498" spans="19:23" ht="15.75" customHeight="1" x14ac:dyDescent="0.45">
      <c r="S498" s="5"/>
      <c r="T498" s="5"/>
      <c r="U498" s="5"/>
      <c r="V498" s="5"/>
      <c r="W498" s="45"/>
    </row>
    <row r="499" spans="19:23" ht="15.75" customHeight="1" x14ac:dyDescent="0.45">
      <c r="S499" s="5"/>
      <c r="T499" s="5"/>
      <c r="U499" s="5"/>
      <c r="V499" s="5"/>
      <c r="W499" s="45"/>
    </row>
    <row r="500" spans="19:23" ht="15.75" customHeight="1" x14ac:dyDescent="0.45">
      <c r="S500" s="5"/>
      <c r="T500" s="5"/>
      <c r="U500" s="5"/>
      <c r="V500" s="5"/>
      <c r="W500" s="45"/>
    </row>
    <row r="501" spans="19:23" ht="15.75" customHeight="1" x14ac:dyDescent="0.45">
      <c r="S501" s="5"/>
      <c r="T501" s="5"/>
      <c r="U501" s="5"/>
      <c r="V501" s="5"/>
      <c r="W501" s="45"/>
    </row>
    <row r="502" spans="19:23" ht="15.75" customHeight="1" x14ac:dyDescent="0.45">
      <c r="S502" s="5"/>
      <c r="T502" s="5"/>
      <c r="U502" s="5"/>
      <c r="V502" s="5"/>
      <c r="W502" s="45"/>
    </row>
    <row r="503" spans="19:23" ht="15.75" customHeight="1" x14ac:dyDescent="0.45">
      <c r="S503" s="5"/>
      <c r="T503" s="5"/>
      <c r="U503" s="5"/>
      <c r="V503" s="5"/>
      <c r="W503" s="45"/>
    </row>
    <row r="504" spans="19:23" ht="15.75" customHeight="1" x14ac:dyDescent="0.45">
      <c r="S504" s="5"/>
      <c r="T504" s="5"/>
      <c r="U504" s="5"/>
      <c r="V504" s="5"/>
      <c r="W504" s="45"/>
    </row>
    <row r="505" spans="19:23" ht="15.75" customHeight="1" x14ac:dyDescent="0.45">
      <c r="S505" s="5"/>
      <c r="T505" s="5"/>
      <c r="U505" s="5"/>
      <c r="V505" s="5"/>
      <c r="W505" s="45"/>
    </row>
    <row r="506" spans="19:23" ht="15.75" customHeight="1" x14ac:dyDescent="0.45">
      <c r="S506" s="5"/>
      <c r="T506" s="5"/>
      <c r="U506" s="5"/>
      <c r="V506" s="5"/>
      <c r="W506" s="45"/>
    </row>
    <row r="507" spans="19:23" ht="15.75" customHeight="1" x14ac:dyDescent="0.45">
      <c r="S507" s="5"/>
      <c r="T507" s="5"/>
      <c r="U507" s="5"/>
      <c r="V507" s="5"/>
      <c r="W507" s="45"/>
    </row>
    <row r="508" spans="19:23" ht="15.75" customHeight="1" x14ac:dyDescent="0.45">
      <c r="S508" s="5"/>
      <c r="T508" s="5"/>
      <c r="U508" s="5"/>
      <c r="V508" s="5"/>
      <c r="W508" s="45"/>
    </row>
    <row r="509" spans="19:23" ht="15.75" customHeight="1" x14ac:dyDescent="0.45">
      <c r="S509" s="5"/>
      <c r="T509" s="5"/>
      <c r="U509" s="5"/>
      <c r="V509" s="5"/>
      <c r="W509" s="45"/>
    </row>
    <row r="510" spans="19:23" ht="15.75" customHeight="1" x14ac:dyDescent="0.45">
      <c r="S510" s="5"/>
      <c r="T510" s="5"/>
      <c r="U510" s="5"/>
      <c r="V510" s="5"/>
      <c r="W510" s="45"/>
    </row>
    <row r="511" spans="19:23" ht="15.75" customHeight="1" x14ac:dyDescent="0.45">
      <c r="S511" s="5"/>
      <c r="T511" s="5"/>
      <c r="U511" s="5"/>
      <c r="V511" s="5"/>
      <c r="W511" s="45"/>
    </row>
    <row r="512" spans="19:23" ht="15.75" customHeight="1" x14ac:dyDescent="0.45">
      <c r="S512" s="5"/>
      <c r="T512" s="5"/>
      <c r="U512" s="5"/>
      <c r="V512" s="5"/>
      <c r="W512" s="45"/>
    </row>
    <row r="513" spans="19:23" ht="15.75" customHeight="1" x14ac:dyDescent="0.45">
      <c r="S513" s="5"/>
      <c r="T513" s="5"/>
      <c r="U513" s="5"/>
      <c r="V513" s="5"/>
      <c r="W513" s="45"/>
    </row>
    <row r="514" spans="19:23" ht="15.75" customHeight="1" x14ac:dyDescent="0.45">
      <c r="S514" s="5"/>
      <c r="T514" s="5"/>
      <c r="U514" s="5"/>
      <c r="V514" s="5"/>
      <c r="W514" s="45"/>
    </row>
    <row r="515" spans="19:23" ht="15.75" customHeight="1" x14ac:dyDescent="0.45">
      <c r="S515" s="5"/>
      <c r="T515" s="5"/>
      <c r="U515" s="5"/>
      <c r="V515" s="5"/>
      <c r="W515" s="45"/>
    </row>
    <row r="516" spans="19:23" ht="15.75" customHeight="1" x14ac:dyDescent="0.45">
      <c r="S516" s="5"/>
      <c r="T516" s="5"/>
      <c r="U516" s="5"/>
      <c r="V516" s="5"/>
      <c r="W516" s="45"/>
    </row>
    <row r="517" spans="19:23" ht="15.75" customHeight="1" x14ac:dyDescent="0.45">
      <c r="S517" s="5"/>
      <c r="T517" s="5"/>
      <c r="U517" s="5"/>
      <c r="V517" s="5"/>
      <c r="W517" s="45"/>
    </row>
    <row r="518" spans="19:23" ht="15.75" customHeight="1" x14ac:dyDescent="0.45">
      <c r="S518" s="5"/>
      <c r="T518" s="5"/>
      <c r="U518" s="5"/>
      <c r="V518" s="5"/>
      <c r="W518" s="45"/>
    </row>
    <row r="519" spans="19:23" ht="15.75" customHeight="1" x14ac:dyDescent="0.45">
      <c r="S519" s="5"/>
      <c r="T519" s="5"/>
      <c r="U519" s="5"/>
      <c r="V519" s="5"/>
      <c r="W519" s="45"/>
    </row>
    <row r="520" spans="19:23" ht="15.75" customHeight="1" x14ac:dyDescent="0.45">
      <c r="S520" s="5"/>
      <c r="T520" s="5"/>
      <c r="U520" s="5"/>
      <c r="V520" s="5"/>
      <c r="W520" s="45"/>
    </row>
    <row r="521" spans="19:23" ht="15.75" customHeight="1" x14ac:dyDescent="0.45">
      <c r="S521" s="5"/>
      <c r="T521" s="5"/>
      <c r="U521" s="5"/>
      <c r="V521" s="5"/>
      <c r="W521" s="45"/>
    </row>
    <row r="522" spans="19:23" ht="15.75" customHeight="1" x14ac:dyDescent="0.45">
      <c r="S522" s="5"/>
      <c r="T522" s="5"/>
      <c r="U522" s="5"/>
      <c r="V522" s="5"/>
      <c r="W522" s="45"/>
    </row>
    <row r="523" spans="19:23" ht="15.75" customHeight="1" x14ac:dyDescent="0.45">
      <c r="S523" s="5"/>
      <c r="T523" s="5"/>
      <c r="U523" s="5"/>
      <c r="V523" s="5"/>
      <c r="W523" s="45"/>
    </row>
    <row r="524" spans="19:23" ht="15.75" customHeight="1" x14ac:dyDescent="0.45">
      <c r="S524" s="5"/>
      <c r="T524" s="5"/>
      <c r="U524" s="5"/>
      <c r="V524" s="5"/>
      <c r="W524" s="45"/>
    </row>
    <row r="525" spans="19:23" ht="15.75" customHeight="1" x14ac:dyDescent="0.45">
      <c r="S525" s="5"/>
      <c r="T525" s="5"/>
      <c r="U525" s="5"/>
      <c r="V525" s="5"/>
      <c r="W525" s="45"/>
    </row>
    <row r="526" spans="19:23" ht="15.75" customHeight="1" x14ac:dyDescent="0.45">
      <c r="S526" s="5"/>
      <c r="T526" s="5"/>
      <c r="U526" s="5"/>
      <c r="V526" s="5"/>
      <c r="W526" s="45"/>
    </row>
    <row r="527" spans="19:23" ht="15.75" customHeight="1" x14ac:dyDescent="0.45">
      <c r="S527" s="5"/>
      <c r="T527" s="5"/>
      <c r="U527" s="5"/>
      <c r="V527" s="5"/>
      <c r="W527" s="45"/>
    </row>
    <row r="528" spans="19:23" ht="15.75" customHeight="1" x14ac:dyDescent="0.45">
      <c r="S528" s="5"/>
      <c r="T528" s="5"/>
      <c r="U528" s="5"/>
      <c r="V528" s="5"/>
      <c r="W528" s="45"/>
    </row>
    <row r="529" spans="19:23" ht="15.75" customHeight="1" x14ac:dyDescent="0.45">
      <c r="S529" s="5"/>
      <c r="T529" s="5"/>
      <c r="U529" s="5"/>
      <c r="V529" s="5"/>
      <c r="W529" s="45"/>
    </row>
    <row r="530" spans="19:23" ht="15.75" customHeight="1" x14ac:dyDescent="0.45">
      <c r="S530" s="5"/>
      <c r="T530" s="5"/>
      <c r="U530" s="5"/>
      <c r="V530" s="5"/>
      <c r="W530" s="45"/>
    </row>
    <row r="531" spans="19:23" ht="15.75" customHeight="1" x14ac:dyDescent="0.45">
      <c r="S531" s="5"/>
      <c r="T531" s="5"/>
      <c r="U531" s="5"/>
      <c r="V531" s="5"/>
      <c r="W531" s="45"/>
    </row>
    <row r="532" spans="19:23" ht="15.75" customHeight="1" x14ac:dyDescent="0.45">
      <c r="S532" s="5"/>
      <c r="T532" s="5"/>
      <c r="U532" s="5"/>
      <c r="V532" s="5"/>
      <c r="W532" s="45"/>
    </row>
    <row r="533" spans="19:23" ht="15.75" customHeight="1" x14ac:dyDescent="0.45">
      <c r="S533" s="5"/>
      <c r="T533" s="5"/>
      <c r="U533" s="5"/>
      <c r="V533" s="5"/>
      <c r="W533" s="45"/>
    </row>
    <row r="534" spans="19:23" ht="15.75" customHeight="1" x14ac:dyDescent="0.45">
      <c r="S534" s="5"/>
      <c r="T534" s="5"/>
      <c r="U534" s="5"/>
      <c r="V534" s="5"/>
      <c r="W534" s="45"/>
    </row>
    <row r="535" spans="19:23" ht="15.75" customHeight="1" x14ac:dyDescent="0.45">
      <c r="S535" s="5"/>
      <c r="T535" s="5"/>
      <c r="U535" s="5"/>
      <c r="V535" s="5"/>
      <c r="W535" s="45"/>
    </row>
    <row r="536" spans="19:23" ht="15.75" customHeight="1" x14ac:dyDescent="0.45">
      <c r="S536" s="5"/>
      <c r="T536" s="5"/>
      <c r="U536" s="5"/>
      <c r="V536" s="5"/>
      <c r="W536" s="45"/>
    </row>
    <row r="537" spans="19:23" ht="15.75" customHeight="1" x14ac:dyDescent="0.45">
      <c r="S537" s="5"/>
      <c r="T537" s="5"/>
      <c r="U537" s="5"/>
      <c r="V537" s="5"/>
      <c r="W537" s="45"/>
    </row>
    <row r="538" spans="19:23" ht="15.75" customHeight="1" x14ac:dyDescent="0.45">
      <c r="S538" s="5"/>
      <c r="T538" s="5"/>
      <c r="U538" s="5"/>
      <c r="V538" s="5"/>
      <c r="W538" s="45"/>
    </row>
    <row r="539" spans="19:23" ht="15.75" customHeight="1" x14ac:dyDescent="0.45">
      <c r="S539" s="5"/>
      <c r="T539" s="5"/>
      <c r="U539" s="5"/>
      <c r="V539" s="5"/>
      <c r="W539" s="45"/>
    </row>
    <row r="540" spans="19:23" ht="15.75" customHeight="1" x14ac:dyDescent="0.45">
      <c r="S540" s="5"/>
      <c r="T540" s="5"/>
      <c r="U540" s="5"/>
      <c r="V540" s="5"/>
      <c r="W540" s="45"/>
    </row>
    <row r="541" spans="19:23" ht="15.75" customHeight="1" x14ac:dyDescent="0.45">
      <c r="S541" s="5"/>
      <c r="T541" s="5"/>
      <c r="U541" s="5"/>
      <c r="V541" s="5"/>
      <c r="W541" s="45"/>
    </row>
    <row r="542" spans="19:23" ht="15.75" customHeight="1" x14ac:dyDescent="0.45">
      <c r="S542" s="5"/>
      <c r="T542" s="5"/>
      <c r="U542" s="5"/>
      <c r="V542" s="5"/>
      <c r="W542" s="45"/>
    </row>
    <row r="543" spans="19:23" ht="15.75" customHeight="1" x14ac:dyDescent="0.45">
      <c r="S543" s="5"/>
      <c r="T543" s="5"/>
      <c r="U543" s="5"/>
      <c r="V543" s="5"/>
      <c r="W543" s="45"/>
    </row>
    <row r="544" spans="19:23" ht="15.75" customHeight="1" x14ac:dyDescent="0.45">
      <c r="S544" s="5"/>
      <c r="T544" s="5"/>
      <c r="U544" s="5"/>
      <c r="V544" s="5"/>
      <c r="W544" s="45"/>
    </row>
    <row r="545" spans="19:23" ht="15.75" customHeight="1" x14ac:dyDescent="0.45">
      <c r="S545" s="5"/>
      <c r="T545" s="5"/>
      <c r="U545" s="5"/>
      <c r="V545" s="5"/>
      <c r="W545" s="45"/>
    </row>
    <row r="546" spans="19:23" ht="15.75" customHeight="1" x14ac:dyDescent="0.45">
      <c r="S546" s="5"/>
      <c r="T546" s="5"/>
      <c r="U546" s="5"/>
      <c r="V546" s="5"/>
      <c r="W546" s="45"/>
    </row>
    <row r="547" spans="19:23" ht="15.75" customHeight="1" x14ac:dyDescent="0.45">
      <c r="S547" s="5"/>
      <c r="T547" s="5"/>
      <c r="U547" s="5"/>
      <c r="V547" s="5"/>
      <c r="W547" s="45"/>
    </row>
    <row r="548" spans="19:23" ht="15.75" customHeight="1" x14ac:dyDescent="0.45">
      <c r="S548" s="5"/>
      <c r="T548" s="5"/>
      <c r="U548" s="5"/>
      <c r="V548" s="5"/>
      <c r="W548" s="45"/>
    </row>
    <row r="549" spans="19:23" ht="15.75" customHeight="1" x14ac:dyDescent="0.45">
      <c r="S549" s="5"/>
      <c r="T549" s="5"/>
      <c r="U549" s="5"/>
      <c r="V549" s="5"/>
      <c r="W549" s="45"/>
    </row>
    <row r="550" spans="19:23" ht="15.75" customHeight="1" x14ac:dyDescent="0.45">
      <c r="S550" s="5"/>
      <c r="T550" s="5"/>
      <c r="U550" s="5"/>
      <c r="V550" s="5"/>
      <c r="W550" s="45"/>
    </row>
    <row r="551" spans="19:23" ht="15.75" customHeight="1" x14ac:dyDescent="0.45">
      <c r="S551" s="5"/>
      <c r="T551" s="5"/>
      <c r="U551" s="5"/>
      <c r="V551" s="5"/>
      <c r="W551" s="45"/>
    </row>
    <row r="552" spans="19:23" ht="15.75" customHeight="1" x14ac:dyDescent="0.45">
      <c r="S552" s="5"/>
      <c r="T552" s="5"/>
      <c r="U552" s="5"/>
      <c r="V552" s="5"/>
      <c r="W552" s="45"/>
    </row>
    <row r="553" spans="19:23" ht="15.75" customHeight="1" x14ac:dyDescent="0.45">
      <c r="S553" s="5"/>
      <c r="T553" s="5"/>
      <c r="U553" s="5"/>
      <c r="V553" s="5"/>
      <c r="W553" s="45"/>
    </row>
    <row r="554" spans="19:23" ht="15.75" customHeight="1" x14ac:dyDescent="0.45">
      <c r="S554" s="5"/>
      <c r="T554" s="5"/>
      <c r="U554" s="5"/>
      <c r="V554" s="5"/>
      <c r="W554" s="45"/>
    </row>
    <row r="555" spans="19:23" ht="15.75" customHeight="1" x14ac:dyDescent="0.45">
      <c r="S555" s="5"/>
      <c r="T555" s="5"/>
      <c r="U555" s="5"/>
      <c r="V555" s="5"/>
      <c r="W555" s="45"/>
    </row>
    <row r="556" spans="19:23" ht="15.75" customHeight="1" x14ac:dyDescent="0.45">
      <c r="S556" s="5"/>
      <c r="T556" s="5"/>
      <c r="U556" s="5"/>
      <c r="V556" s="5"/>
      <c r="W556" s="45"/>
    </row>
    <row r="557" spans="19:23" ht="15.75" customHeight="1" x14ac:dyDescent="0.45">
      <c r="S557" s="5"/>
      <c r="T557" s="5"/>
      <c r="U557" s="5"/>
      <c r="V557" s="5"/>
      <c r="W557" s="45"/>
    </row>
    <row r="558" spans="19:23" ht="15.75" customHeight="1" x14ac:dyDescent="0.45">
      <c r="S558" s="5"/>
      <c r="T558" s="5"/>
      <c r="U558" s="5"/>
      <c r="V558" s="5"/>
      <c r="W558" s="45"/>
    </row>
    <row r="559" spans="19:23" ht="15.75" customHeight="1" x14ac:dyDescent="0.45">
      <c r="S559" s="5"/>
      <c r="T559" s="5"/>
      <c r="U559" s="5"/>
      <c r="V559" s="5"/>
      <c r="W559" s="45"/>
    </row>
    <row r="560" spans="19:23" ht="15.75" customHeight="1" x14ac:dyDescent="0.45">
      <c r="S560" s="5"/>
      <c r="T560" s="5"/>
      <c r="U560" s="5"/>
      <c r="V560" s="5"/>
      <c r="W560" s="45"/>
    </row>
    <row r="561" spans="19:23" ht="15.75" customHeight="1" x14ac:dyDescent="0.45">
      <c r="S561" s="5"/>
      <c r="T561" s="5"/>
      <c r="U561" s="5"/>
      <c r="V561" s="5"/>
      <c r="W561" s="45"/>
    </row>
    <row r="562" spans="19:23" ht="15.75" customHeight="1" x14ac:dyDescent="0.45">
      <c r="S562" s="5"/>
      <c r="T562" s="5"/>
      <c r="U562" s="5"/>
      <c r="V562" s="5"/>
      <c r="W562" s="45"/>
    </row>
    <row r="563" spans="19:23" ht="15.75" customHeight="1" x14ac:dyDescent="0.45">
      <c r="S563" s="5"/>
      <c r="T563" s="5"/>
      <c r="U563" s="5"/>
      <c r="V563" s="5"/>
      <c r="W563" s="45"/>
    </row>
    <row r="564" spans="19:23" ht="15.75" customHeight="1" x14ac:dyDescent="0.45">
      <c r="S564" s="5"/>
      <c r="T564" s="5"/>
      <c r="U564" s="5"/>
      <c r="V564" s="5"/>
      <c r="W564" s="45"/>
    </row>
    <row r="565" spans="19:23" ht="15.75" customHeight="1" x14ac:dyDescent="0.45">
      <c r="S565" s="5"/>
      <c r="T565" s="5"/>
      <c r="U565" s="5"/>
      <c r="V565" s="5"/>
      <c r="W565" s="45"/>
    </row>
    <row r="566" spans="19:23" ht="15.75" customHeight="1" x14ac:dyDescent="0.45">
      <c r="S566" s="5"/>
      <c r="T566" s="5"/>
      <c r="U566" s="5"/>
      <c r="V566" s="5"/>
      <c r="W566" s="45"/>
    </row>
    <row r="567" spans="19:23" ht="15.75" customHeight="1" x14ac:dyDescent="0.45">
      <c r="S567" s="5"/>
      <c r="T567" s="5"/>
      <c r="U567" s="5"/>
      <c r="V567" s="5"/>
      <c r="W567" s="45"/>
    </row>
    <row r="568" spans="19:23" ht="15.75" customHeight="1" x14ac:dyDescent="0.45">
      <c r="S568" s="5"/>
      <c r="T568" s="5"/>
      <c r="U568" s="5"/>
      <c r="V568" s="5"/>
      <c r="W568" s="45"/>
    </row>
    <row r="569" spans="19:23" ht="15.75" customHeight="1" x14ac:dyDescent="0.45">
      <c r="S569" s="5"/>
      <c r="T569" s="5"/>
      <c r="U569" s="5"/>
      <c r="V569" s="5"/>
      <c r="W569" s="45"/>
    </row>
    <row r="570" spans="19:23" ht="15.75" customHeight="1" x14ac:dyDescent="0.45">
      <c r="S570" s="5"/>
      <c r="T570" s="5"/>
      <c r="U570" s="5"/>
      <c r="V570" s="5"/>
      <c r="W570" s="45"/>
    </row>
    <row r="571" spans="19:23" ht="15.75" customHeight="1" x14ac:dyDescent="0.45">
      <c r="S571" s="5"/>
      <c r="T571" s="5"/>
      <c r="U571" s="5"/>
      <c r="V571" s="5"/>
      <c r="W571" s="45"/>
    </row>
    <row r="572" spans="19:23" ht="15.75" customHeight="1" x14ac:dyDescent="0.45">
      <c r="S572" s="5"/>
      <c r="T572" s="5"/>
      <c r="U572" s="5"/>
      <c r="V572" s="5"/>
      <c r="W572" s="45"/>
    </row>
    <row r="573" spans="19:23" ht="15.75" customHeight="1" x14ac:dyDescent="0.45">
      <c r="S573" s="5"/>
      <c r="T573" s="5"/>
      <c r="U573" s="5"/>
      <c r="V573" s="5"/>
      <c r="W573" s="45"/>
    </row>
    <row r="574" spans="19:23" ht="15.75" customHeight="1" x14ac:dyDescent="0.45">
      <c r="S574" s="5"/>
      <c r="T574" s="5"/>
      <c r="U574" s="5"/>
      <c r="V574" s="5"/>
      <c r="W574" s="45"/>
    </row>
    <row r="575" spans="19:23" ht="15.75" customHeight="1" x14ac:dyDescent="0.45">
      <c r="S575" s="5"/>
      <c r="T575" s="5"/>
      <c r="U575" s="5"/>
      <c r="V575" s="5"/>
      <c r="W575" s="45"/>
    </row>
    <row r="576" spans="19:23" ht="15.75" customHeight="1" x14ac:dyDescent="0.45">
      <c r="S576" s="5"/>
      <c r="T576" s="5"/>
      <c r="U576" s="5"/>
      <c r="V576" s="5"/>
      <c r="W576" s="45"/>
    </row>
    <row r="577" spans="19:23" ht="15.75" customHeight="1" x14ac:dyDescent="0.45">
      <c r="S577" s="5"/>
      <c r="T577" s="5"/>
      <c r="U577" s="5"/>
      <c r="V577" s="5"/>
      <c r="W577" s="45"/>
    </row>
    <row r="578" spans="19:23" ht="15.75" customHeight="1" x14ac:dyDescent="0.45">
      <c r="S578" s="5"/>
      <c r="T578" s="5"/>
      <c r="U578" s="5"/>
      <c r="V578" s="5"/>
      <c r="W578" s="45"/>
    </row>
    <row r="579" spans="19:23" ht="15.75" customHeight="1" x14ac:dyDescent="0.45">
      <c r="S579" s="5"/>
      <c r="T579" s="5"/>
      <c r="U579" s="5"/>
      <c r="V579" s="5"/>
      <c r="W579" s="45"/>
    </row>
    <row r="580" spans="19:23" ht="15.75" customHeight="1" x14ac:dyDescent="0.45">
      <c r="S580" s="5"/>
      <c r="T580" s="5"/>
      <c r="U580" s="5"/>
      <c r="V580" s="5"/>
      <c r="W580" s="45"/>
    </row>
    <row r="581" spans="19:23" ht="15.75" customHeight="1" x14ac:dyDescent="0.45">
      <c r="S581" s="5"/>
      <c r="T581" s="5"/>
      <c r="U581" s="5"/>
      <c r="V581" s="5"/>
      <c r="W581" s="45"/>
    </row>
    <row r="582" spans="19:23" ht="15.75" customHeight="1" x14ac:dyDescent="0.45">
      <c r="S582" s="5"/>
      <c r="T582" s="5"/>
      <c r="U582" s="5"/>
      <c r="V582" s="5"/>
      <c r="W582" s="45"/>
    </row>
    <row r="583" spans="19:23" ht="15.75" customHeight="1" x14ac:dyDescent="0.45">
      <c r="S583" s="5"/>
      <c r="T583" s="5"/>
      <c r="U583" s="5"/>
      <c r="V583" s="5"/>
      <c r="W583" s="45"/>
    </row>
    <row r="584" spans="19:23" ht="15.75" customHeight="1" x14ac:dyDescent="0.45">
      <c r="S584" s="5"/>
      <c r="T584" s="5"/>
      <c r="U584" s="5"/>
      <c r="V584" s="5"/>
      <c r="W584" s="45"/>
    </row>
    <row r="585" spans="19:23" ht="15.75" customHeight="1" x14ac:dyDescent="0.45">
      <c r="S585" s="5"/>
      <c r="T585" s="5"/>
      <c r="U585" s="5"/>
      <c r="V585" s="5"/>
      <c r="W585" s="45"/>
    </row>
    <row r="586" spans="19:23" ht="15.75" customHeight="1" x14ac:dyDescent="0.45">
      <c r="S586" s="5"/>
      <c r="T586" s="5"/>
      <c r="U586" s="5"/>
      <c r="V586" s="5"/>
      <c r="W586" s="45"/>
    </row>
    <row r="587" spans="19:23" ht="15.75" customHeight="1" x14ac:dyDescent="0.45">
      <c r="S587" s="5"/>
      <c r="T587" s="5"/>
      <c r="U587" s="5"/>
      <c r="V587" s="5"/>
      <c r="W587" s="45"/>
    </row>
    <row r="588" spans="19:23" ht="15.75" customHeight="1" x14ac:dyDescent="0.45">
      <c r="S588" s="5"/>
      <c r="T588" s="5"/>
      <c r="U588" s="5"/>
      <c r="V588" s="5"/>
      <c r="W588" s="45"/>
    </row>
    <row r="589" spans="19:23" ht="15.75" customHeight="1" x14ac:dyDescent="0.45">
      <c r="S589" s="5"/>
      <c r="T589" s="5"/>
      <c r="U589" s="5"/>
      <c r="V589" s="5"/>
      <c r="W589" s="45"/>
    </row>
    <row r="590" spans="19:23" ht="15.75" customHeight="1" x14ac:dyDescent="0.45">
      <c r="S590" s="5"/>
      <c r="T590" s="5"/>
      <c r="U590" s="5"/>
      <c r="V590" s="5"/>
      <c r="W590" s="45"/>
    </row>
    <row r="591" spans="19:23" ht="15.75" customHeight="1" x14ac:dyDescent="0.45">
      <c r="S591" s="5"/>
      <c r="T591" s="5"/>
      <c r="U591" s="5"/>
      <c r="V591" s="5"/>
      <c r="W591" s="45"/>
    </row>
    <row r="592" spans="19:23" ht="15.75" customHeight="1" x14ac:dyDescent="0.45">
      <c r="S592" s="5"/>
      <c r="T592" s="5"/>
      <c r="U592" s="5"/>
      <c r="V592" s="5"/>
      <c r="W592" s="45"/>
    </row>
    <row r="593" spans="19:23" ht="15.75" customHeight="1" x14ac:dyDescent="0.45">
      <c r="S593" s="5"/>
      <c r="T593" s="5"/>
      <c r="U593" s="5"/>
      <c r="V593" s="5"/>
      <c r="W593" s="45"/>
    </row>
    <row r="594" spans="19:23" ht="15.75" customHeight="1" x14ac:dyDescent="0.45">
      <c r="S594" s="5"/>
      <c r="T594" s="5"/>
      <c r="U594" s="5"/>
      <c r="V594" s="5"/>
      <c r="W594" s="45"/>
    </row>
    <row r="595" spans="19:23" ht="15.75" customHeight="1" x14ac:dyDescent="0.45">
      <c r="S595" s="5"/>
      <c r="T595" s="5"/>
      <c r="U595" s="5"/>
      <c r="V595" s="5"/>
      <c r="W595" s="45"/>
    </row>
    <row r="596" spans="19:23" ht="15.75" customHeight="1" x14ac:dyDescent="0.45">
      <c r="S596" s="5"/>
      <c r="T596" s="5"/>
      <c r="U596" s="5"/>
      <c r="V596" s="5"/>
      <c r="W596" s="45"/>
    </row>
    <row r="597" spans="19:23" ht="15.75" customHeight="1" x14ac:dyDescent="0.45">
      <c r="S597" s="5"/>
      <c r="T597" s="5"/>
      <c r="U597" s="5"/>
      <c r="V597" s="5"/>
      <c r="W597" s="45"/>
    </row>
    <row r="598" spans="19:23" ht="15.75" customHeight="1" x14ac:dyDescent="0.45">
      <c r="S598" s="5"/>
      <c r="T598" s="5"/>
      <c r="U598" s="5"/>
      <c r="V598" s="5"/>
      <c r="W598" s="45"/>
    </row>
    <row r="599" spans="19:23" ht="15.75" customHeight="1" x14ac:dyDescent="0.45">
      <c r="S599" s="5"/>
      <c r="T599" s="5"/>
      <c r="U599" s="5"/>
      <c r="V599" s="5"/>
      <c r="W599" s="45"/>
    </row>
    <row r="600" spans="19:23" ht="15.75" customHeight="1" x14ac:dyDescent="0.45">
      <c r="S600" s="5"/>
      <c r="T600" s="5"/>
      <c r="U600" s="5"/>
      <c r="V600" s="5"/>
      <c r="W600" s="45"/>
    </row>
    <row r="601" spans="19:23" ht="15.75" customHeight="1" x14ac:dyDescent="0.45">
      <c r="S601" s="5"/>
      <c r="T601" s="5"/>
      <c r="U601" s="5"/>
      <c r="V601" s="5"/>
      <c r="W601" s="45"/>
    </row>
    <row r="602" spans="19:23" ht="15.75" customHeight="1" x14ac:dyDescent="0.45">
      <c r="S602" s="5"/>
      <c r="T602" s="5"/>
      <c r="U602" s="5"/>
      <c r="V602" s="5"/>
      <c r="W602" s="45"/>
    </row>
    <row r="603" spans="19:23" ht="15.75" customHeight="1" x14ac:dyDescent="0.45">
      <c r="S603" s="5"/>
      <c r="T603" s="5"/>
      <c r="U603" s="5"/>
      <c r="V603" s="5"/>
      <c r="W603" s="45"/>
    </row>
    <row r="604" spans="19:23" ht="15.75" customHeight="1" x14ac:dyDescent="0.45">
      <c r="S604" s="5"/>
      <c r="T604" s="5"/>
      <c r="U604" s="5"/>
      <c r="V604" s="5"/>
      <c r="W604" s="45"/>
    </row>
    <row r="605" spans="19:23" ht="15.75" customHeight="1" x14ac:dyDescent="0.45">
      <c r="S605" s="5"/>
      <c r="T605" s="5"/>
      <c r="U605" s="5"/>
      <c r="V605" s="5"/>
      <c r="W605" s="45"/>
    </row>
    <row r="606" spans="19:23" ht="15.75" customHeight="1" x14ac:dyDescent="0.45">
      <c r="S606" s="5"/>
      <c r="T606" s="5"/>
      <c r="U606" s="5"/>
      <c r="V606" s="5"/>
      <c r="W606" s="45"/>
    </row>
    <row r="607" spans="19:23" ht="15.75" customHeight="1" x14ac:dyDescent="0.45">
      <c r="S607" s="5"/>
      <c r="T607" s="5"/>
      <c r="U607" s="5"/>
      <c r="V607" s="5"/>
      <c r="W607" s="45"/>
    </row>
    <row r="608" spans="19:23" ht="15.75" customHeight="1" x14ac:dyDescent="0.45">
      <c r="S608" s="5"/>
      <c r="T608" s="5"/>
      <c r="U608" s="5"/>
      <c r="V608" s="5"/>
      <c r="W608" s="45"/>
    </row>
    <row r="609" spans="19:23" ht="15.75" customHeight="1" x14ac:dyDescent="0.45">
      <c r="S609" s="5"/>
      <c r="T609" s="5"/>
      <c r="U609" s="5"/>
      <c r="V609" s="5"/>
      <c r="W609" s="45"/>
    </row>
    <row r="610" spans="19:23" ht="15.75" customHeight="1" x14ac:dyDescent="0.45">
      <c r="S610" s="5"/>
      <c r="T610" s="5"/>
      <c r="U610" s="5"/>
      <c r="V610" s="5"/>
      <c r="W610" s="45"/>
    </row>
    <row r="611" spans="19:23" ht="15.75" customHeight="1" x14ac:dyDescent="0.45">
      <c r="S611" s="5"/>
      <c r="T611" s="5"/>
      <c r="U611" s="5"/>
      <c r="V611" s="5"/>
      <c r="W611" s="45"/>
    </row>
    <row r="612" spans="19:23" ht="15.75" customHeight="1" x14ac:dyDescent="0.45">
      <c r="S612" s="5"/>
      <c r="T612" s="5"/>
      <c r="U612" s="5"/>
      <c r="V612" s="5"/>
      <c r="W612" s="45"/>
    </row>
    <row r="613" spans="19:23" ht="15.75" customHeight="1" x14ac:dyDescent="0.45">
      <c r="S613" s="5"/>
      <c r="T613" s="5"/>
      <c r="U613" s="5"/>
      <c r="V613" s="5"/>
      <c r="W613" s="45"/>
    </row>
    <row r="614" spans="19:23" ht="15.75" customHeight="1" x14ac:dyDescent="0.45">
      <c r="S614" s="5"/>
      <c r="T614" s="5"/>
      <c r="U614" s="5"/>
      <c r="V614" s="5"/>
      <c r="W614" s="45"/>
    </row>
    <row r="615" spans="19:23" ht="15.75" customHeight="1" x14ac:dyDescent="0.45">
      <c r="S615" s="5"/>
      <c r="T615" s="5"/>
      <c r="U615" s="5"/>
      <c r="V615" s="5"/>
      <c r="W615" s="45"/>
    </row>
    <row r="616" spans="19:23" ht="15.75" customHeight="1" x14ac:dyDescent="0.45">
      <c r="S616" s="5"/>
      <c r="T616" s="5"/>
      <c r="U616" s="5"/>
      <c r="V616" s="5"/>
      <c r="W616" s="45"/>
    </row>
    <row r="617" spans="19:23" ht="15.75" customHeight="1" x14ac:dyDescent="0.45">
      <c r="S617" s="5"/>
      <c r="T617" s="5"/>
      <c r="U617" s="5"/>
      <c r="V617" s="5"/>
      <c r="W617" s="45"/>
    </row>
    <row r="618" spans="19:23" ht="15.75" customHeight="1" x14ac:dyDescent="0.45">
      <c r="S618" s="5"/>
      <c r="T618" s="5"/>
      <c r="U618" s="5"/>
      <c r="V618" s="5"/>
      <c r="W618" s="45"/>
    </row>
    <row r="619" spans="19:23" ht="15.75" customHeight="1" x14ac:dyDescent="0.45">
      <c r="S619" s="5"/>
      <c r="T619" s="5"/>
      <c r="U619" s="5"/>
      <c r="V619" s="5"/>
      <c r="W619" s="45"/>
    </row>
    <row r="620" spans="19:23" ht="15.75" customHeight="1" x14ac:dyDescent="0.45">
      <c r="S620" s="5"/>
      <c r="T620" s="5"/>
      <c r="U620" s="5"/>
      <c r="V620" s="5"/>
      <c r="W620" s="45"/>
    </row>
    <row r="621" spans="19:23" ht="15.75" customHeight="1" x14ac:dyDescent="0.45">
      <c r="S621" s="5"/>
      <c r="T621" s="5"/>
      <c r="U621" s="5"/>
      <c r="V621" s="5"/>
      <c r="W621" s="45"/>
    </row>
    <row r="622" spans="19:23" ht="15.75" customHeight="1" x14ac:dyDescent="0.45">
      <c r="S622" s="5"/>
      <c r="T622" s="5"/>
      <c r="U622" s="5"/>
      <c r="V622" s="5"/>
      <c r="W622" s="45"/>
    </row>
    <row r="623" spans="19:23" ht="15.75" customHeight="1" x14ac:dyDescent="0.45">
      <c r="S623" s="5"/>
      <c r="T623" s="5"/>
      <c r="U623" s="5"/>
      <c r="V623" s="5"/>
      <c r="W623" s="45"/>
    </row>
    <row r="624" spans="19:23" ht="15.75" customHeight="1" x14ac:dyDescent="0.45">
      <c r="S624" s="5"/>
      <c r="T624" s="5"/>
      <c r="U624" s="5"/>
      <c r="V624" s="5"/>
      <c r="W624" s="45"/>
    </row>
    <row r="625" spans="19:23" ht="15.75" customHeight="1" x14ac:dyDescent="0.45">
      <c r="S625" s="5"/>
      <c r="T625" s="5"/>
      <c r="U625" s="5"/>
      <c r="V625" s="5"/>
      <c r="W625" s="45"/>
    </row>
    <row r="626" spans="19:23" ht="15.75" customHeight="1" x14ac:dyDescent="0.45">
      <c r="S626" s="5"/>
      <c r="T626" s="5"/>
      <c r="U626" s="5"/>
      <c r="V626" s="5"/>
      <c r="W626" s="45"/>
    </row>
    <row r="627" spans="19:23" ht="15.75" customHeight="1" x14ac:dyDescent="0.45">
      <c r="S627" s="5"/>
      <c r="T627" s="5"/>
      <c r="U627" s="5"/>
      <c r="V627" s="5"/>
      <c r="W627" s="45"/>
    </row>
    <row r="628" spans="19:23" ht="15.75" customHeight="1" x14ac:dyDescent="0.45">
      <c r="S628" s="5"/>
      <c r="T628" s="5"/>
      <c r="U628" s="5"/>
      <c r="V628" s="5"/>
      <c r="W628" s="45"/>
    </row>
    <row r="629" spans="19:23" ht="15.75" customHeight="1" x14ac:dyDescent="0.45">
      <c r="S629" s="5"/>
      <c r="T629" s="5"/>
      <c r="U629" s="5"/>
      <c r="V629" s="5"/>
      <c r="W629" s="45"/>
    </row>
    <row r="630" spans="19:23" ht="15.75" customHeight="1" x14ac:dyDescent="0.45">
      <c r="S630" s="5"/>
      <c r="T630" s="5"/>
      <c r="U630" s="5"/>
      <c r="V630" s="5"/>
      <c r="W630" s="45"/>
    </row>
    <row r="631" spans="19:23" ht="15.75" customHeight="1" x14ac:dyDescent="0.45">
      <c r="S631" s="5"/>
      <c r="T631" s="5"/>
      <c r="U631" s="5"/>
      <c r="V631" s="5"/>
      <c r="W631" s="45"/>
    </row>
    <row r="632" spans="19:23" ht="15.75" customHeight="1" x14ac:dyDescent="0.45">
      <c r="S632" s="5"/>
      <c r="T632" s="5"/>
      <c r="U632" s="5"/>
      <c r="V632" s="5"/>
      <c r="W632" s="45"/>
    </row>
    <row r="633" spans="19:23" ht="15.75" customHeight="1" x14ac:dyDescent="0.45">
      <c r="S633" s="5"/>
      <c r="T633" s="5"/>
      <c r="U633" s="5"/>
      <c r="V633" s="5"/>
      <c r="W633" s="45"/>
    </row>
    <row r="634" spans="19:23" ht="15.75" customHeight="1" x14ac:dyDescent="0.45">
      <c r="S634" s="5"/>
      <c r="T634" s="5"/>
      <c r="U634" s="5"/>
      <c r="V634" s="5"/>
      <c r="W634" s="45"/>
    </row>
    <row r="635" spans="19:23" ht="15.75" customHeight="1" x14ac:dyDescent="0.45">
      <c r="S635" s="5"/>
      <c r="T635" s="5"/>
      <c r="U635" s="5"/>
      <c r="V635" s="5"/>
      <c r="W635" s="45"/>
    </row>
    <row r="636" spans="19:23" ht="15.75" customHeight="1" x14ac:dyDescent="0.45">
      <c r="S636" s="5"/>
      <c r="T636" s="5"/>
      <c r="U636" s="5"/>
      <c r="V636" s="5"/>
      <c r="W636" s="45"/>
    </row>
    <row r="637" spans="19:23" ht="15.75" customHeight="1" x14ac:dyDescent="0.45">
      <c r="S637" s="5"/>
      <c r="T637" s="5"/>
      <c r="U637" s="5"/>
      <c r="V637" s="5"/>
      <c r="W637" s="45"/>
    </row>
    <row r="638" spans="19:23" ht="15.75" customHeight="1" x14ac:dyDescent="0.45">
      <c r="S638" s="5"/>
      <c r="T638" s="5"/>
      <c r="U638" s="5"/>
      <c r="V638" s="5"/>
      <c r="W638" s="45"/>
    </row>
    <row r="639" spans="19:23" ht="15.75" customHeight="1" x14ac:dyDescent="0.45">
      <c r="S639" s="5"/>
      <c r="T639" s="5"/>
      <c r="U639" s="5"/>
      <c r="V639" s="5"/>
      <c r="W639" s="45"/>
    </row>
    <row r="640" spans="19:23" ht="15.75" customHeight="1" x14ac:dyDescent="0.45">
      <c r="S640" s="5"/>
      <c r="T640" s="5"/>
      <c r="U640" s="5"/>
      <c r="V640" s="5"/>
      <c r="W640" s="45"/>
    </row>
    <row r="641" spans="19:23" ht="15.75" customHeight="1" x14ac:dyDescent="0.45">
      <c r="S641" s="5"/>
      <c r="T641" s="5"/>
      <c r="U641" s="5"/>
      <c r="V641" s="5"/>
      <c r="W641" s="45"/>
    </row>
    <row r="642" spans="19:23" ht="15.75" customHeight="1" x14ac:dyDescent="0.45">
      <c r="S642" s="5"/>
      <c r="T642" s="5"/>
      <c r="U642" s="5"/>
      <c r="V642" s="5"/>
      <c r="W642" s="45"/>
    </row>
    <row r="643" spans="19:23" ht="15.75" customHeight="1" x14ac:dyDescent="0.45">
      <c r="S643" s="5"/>
      <c r="T643" s="5"/>
      <c r="U643" s="5"/>
      <c r="V643" s="5"/>
      <c r="W643" s="45"/>
    </row>
    <row r="644" spans="19:23" ht="15.75" customHeight="1" x14ac:dyDescent="0.45">
      <c r="S644" s="5"/>
      <c r="T644" s="5"/>
      <c r="U644" s="5"/>
      <c r="V644" s="5"/>
      <c r="W644" s="45"/>
    </row>
    <row r="645" spans="19:23" ht="15.75" customHeight="1" x14ac:dyDescent="0.45">
      <c r="S645" s="5"/>
      <c r="T645" s="5"/>
      <c r="U645" s="5"/>
      <c r="V645" s="5"/>
      <c r="W645" s="45"/>
    </row>
    <row r="646" spans="19:23" ht="15.75" customHeight="1" x14ac:dyDescent="0.45">
      <c r="S646" s="5"/>
      <c r="T646" s="5"/>
      <c r="U646" s="5"/>
      <c r="V646" s="5"/>
      <c r="W646" s="45"/>
    </row>
    <row r="647" spans="19:23" ht="15.75" customHeight="1" x14ac:dyDescent="0.45">
      <c r="S647" s="5"/>
      <c r="T647" s="5"/>
      <c r="U647" s="5"/>
      <c r="V647" s="5"/>
      <c r="W647" s="45"/>
    </row>
    <row r="648" spans="19:23" ht="15.75" customHeight="1" x14ac:dyDescent="0.45">
      <c r="S648" s="5"/>
      <c r="T648" s="5"/>
      <c r="U648" s="5"/>
      <c r="V648" s="5"/>
      <c r="W648" s="45"/>
    </row>
    <row r="649" spans="19:23" ht="15.75" customHeight="1" x14ac:dyDescent="0.45">
      <c r="S649" s="5"/>
      <c r="T649" s="5"/>
      <c r="U649" s="5"/>
      <c r="V649" s="5"/>
      <c r="W649" s="45"/>
    </row>
    <row r="650" spans="19:23" ht="15.75" customHeight="1" x14ac:dyDescent="0.45">
      <c r="S650" s="5"/>
      <c r="T650" s="5"/>
      <c r="U650" s="5"/>
      <c r="V650" s="5"/>
      <c r="W650" s="45"/>
    </row>
    <row r="651" spans="19:23" ht="15.75" customHeight="1" x14ac:dyDescent="0.45">
      <c r="S651" s="5"/>
      <c r="T651" s="5"/>
      <c r="U651" s="5"/>
      <c r="V651" s="5"/>
      <c r="W651" s="45"/>
    </row>
    <row r="652" spans="19:23" ht="15.75" customHeight="1" x14ac:dyDescent="0.45">
      <c r="S652" s="5"/>
      <c r="T652" s="5"/>
      <c r="U652" s="5"/>
      <c r="V652" s="5"/>
      <c r="W652" s="45"/>
    </row>
    <row r="653" spans="19:23" ht="15.75" customHeight="1" x14ac:dyDescent="0.45">
      <c r="S653" s="5"/>
      <c r="T653" s="5"/>
      <c r="U653" s="5"/>
      <c r="V653" s="5"/>
      <c r="W653" s="45"/>
    </row>
    <row r="654" spans="19:23" ht="15.75" customHeight="1" x14ac:dyDescent="0.45">
      <c r="S654" s="5"/>
      <c r="T654" s="5"/>
      <c r="U654" s="5"/>
      <c r="V654" s="5"/>
      <c r="W654" s="45"/>
    </row>
    <row r="655" spans="19:23" ht="15.75" customHeight="1" x14ac:dyDescent="0.45">
      <c r="S655" s="5"/>
      <c r="T655" s="5"/>
      <c r="U655" s="5"/>
      <c r="V655" s="5"/>
      <c r="W655" s="45"/>
    </row>
    <row r="656" spans="19:23" ht="15.75" customHeight="1" x14ac:dyDescent="0.45">
      <c r="S656" s="5"/>
      <c r="T656" s="5"/>
      <c r="U656" s="5"/>
      <c r="V656" s="5"/>
      <c r="W656" s="45"/>
    </row>
    <row r="657" spans="19:23" ht="15.75" customHeight="1" x14ac:dyDescent="0.45">
      <c r="S657" s="5"/>
      <c r="T657" s="5"/>
      <c r="U657" s="5"/>
      <c r="V657" s="5"/>
      <c r="W657" s="45"/>
    </row>
    <row r="658" spans="19:23" ht="15.75" customHeight="1" x14ac:dyDescent="0.45">
      <c r="S658" s="5"/>
      <c r="T658" s="5"/>
      <c r="U658" s="5"/>
      <c r="V658" s="5"/>
      <c r="W658" s="45"/>
    </row>
    <row r="659" spans="19:23" ht="15.75" customHeight="1" x14ac:dyDescent="0.45">
      <c r="S659" s="5"/>
      <c r="T659" s="5"/>
      <c r="U659" s="5"/>
      <c r="V659" s="5"/>
      <c r="W659" s="45"/>
    </row>
    <row r="660" spans="19:23" ht="15.75" customHeight="1" x14ac:dyDescent="0.45">
      <c r="S660" s="5"/>
      <c r="T660" s="5"/>
      <c r="U660" s="5"/>
      <c r="V660" s="5"/>
      <c r="W660" s="45"/>
    </row>
    <row r="661" spans="19:23" ht="15.75" customHeight="1" x14ac:dyDescent="0.45">
      <c r="S661" s="5"/>
      <c r="T661" s="5"/>
      <c r="U661" s="5"/>
      <c r="V661" s="5"/>
      <c r="W661" s="45"/>
    </row>
    <row r="662" spans="19:23" ht="15.75" customHeight="1" x14ac:dyDescent="0.45">
      <c r="S662" s="5"/>
      <c r="T662" s="5"/>
      <c r="U662" s="5"/>
      <c r="V662" s="5"/>
      <c r="W662" s="45"/>
    </row>
    <row r="663" spans="19:23" ht="15.75" customHeight="1" x14ac:dyDescent="0.45">
      <c r="S663" s="5"/>
      <c r="T663" s="5"/>
      <c r="U663" s="5"/>
      <c r="V663" s="5"/>
      <c r="W663" s="45"/>
    </row>
    <row r="664" spans="19:23" ht="15.75" customHeight="1" x14ac:dyDescent="0.45">
      <c r="S664" s="5"/>
      <c r="T664" s="5"/>
      <c r="U664" s="5"/>
      <c r="V664" s="5"/>
      <c r="W664" s="45"/>
    </row>
    <row r="665" spans="19:23" ht="15.75" customHeight="1" x14ac:dyDescent="0.45">
      <c r="S665" s="5"/>
      <c r="T665" s="5"/>
      <c r="U665" s="5"/>
      <c r="V665" s="5"/>
      <c r="W665" s="45"/>
    </row>
    <row r="666" spans="19:23" ht="15.75" customHeight="1" x14ac:dyDescent="0.45">
      <c r="S666" s="5"/>
      <c r="T666" s="5"/>
      <c r="U666" s="5"/>
      <c r="V666" s="5"/>
      <c r="W666" s="45"/>
    </row>
    <row r="667" spans="19:23" ht="15.75" customHeight="1" x14ac:dyDescent="0.45">
      <c r="S667" s="5"/>
      <c r="T667" s="5"/>
      <c r="U667" s="5"/>
      <c r="V667" s="5"/>
      <c r="W667" s="45"/>
    </row>
    <row r="668" spans="19:23" ht="15.75" customHeight="1" x14ac:dyDescent="0.45">
      <c r="S668" s="5"/>
      <c r="T668" s="5"/>
      <c r="U668" s="5"/>
      <c r="V668" s="5"/>
      <c r="W668" s="45"/>
    </row>
    <row r="669" spans="19:23" ht="15.75" customHeight="1" x14ac:dyDescent="0.45">
      <c r="S669" s="5"/>
      <c r="T669" s="5"/>
      <c r="U669" s="5"/>
      <c r="V669" s="5"/>
      <c r="W669" s="45"/>
    </row>
    <row r="670" spans="19:23" ht="15.75" customHeight="1" x14ac:dyDescent="0.45">
      <c r="S670" s="5"/>
      <c r="T670" s="5"/>
      <c r="U670" s="5"/>
      <c r="V670" s="5"/>
      <c r="W670" s="45"/>
    </row>
    <row r="671" spans="19:23" ht="15.75" customHeight="1" x14ac:dyDescent="0.45">
      <c r="S671" s="5"/>
      <c r="T671" s="5"/>
      <c r="U671" s="5"/>
      <c r="V671" s="5"/>
      <c r="W671" s="45"/>
    </row>
    <row r="672" spans="19:23" ht="15.75" customHeight="1" x14ac:dyDescent="0.45">
      <c r="S672" s="5"/>
      <c r="T672" s="5"/>
      <c r="U672" s="5"/>
      <c r="V672" s="5"/>
      <c r="W672" s="45"/>
    </row>
    <row r="673" spans="19:23" ht="15.75" customHeight="1" x14ac:dyDescent="0.45">
      <c r="S673" s="5"/>
      <c r="T673" s="5"/>
      <c r="U673" s="5"/>
      <c r="V673" s="5"/>
      <c r="W673" s="45"/>
    </row>
    <row r="674" spans="19:23" ht="15.75" customHeight="1" x14ac:dyDescent="0.45">
      <c r="S674" s="5"/>
      <c r="T674" s="5"/>
      <c r="U674" s="5"/>
      <c r="V674" s="5"/>
      <c r="W674" s="45"/>
    </row>
    <row r="675" spans="19:23" ht="15.75" customHeight="1" x14ac:dyDescent="0.45">
      <c r="S675" s="5"/>
      <c r="T675" s="5"/>
      <c r="U675" s="5"/>
      <c r="V675" s="5"/>
      <c r="W675" s="45"/>
    </row>
    <row r="676" spans="19:23" ht="15.75" customHeight="1" x14ac:dyDescent="0.45">
      <c r="S676" s="5"/>
      <c r="T676" s="5"/>
      <c r="U676" s="5"/>
      <c r="V676" s="5"/>
      <c r="W676" s="45"/>
    </row>
    <row r="677" spans="19:23" ht="15.75" customHeight="1" x14ac:dyDescent="0.45">
      <c r="S677" s="5"/>
      <c r="T677" s="5"/>
      <c r="U677" s="5"/>
      <c r="V677" s="5"/>
      <c r="W677" s="45"/>
    </row>
    <row r="678" spans="19:23" ht="15.75" customHeight="1" x14ac:dyDescent="0.45">
      <c r="S678" s="5"/>
      <c r="T678" s="5"/>
      <c r="U678" s="5"/>
      <c r="V678" s="5"/>
      <c r="W678" s="45"/>
    </row>
    <row r="679" spans="19:23" ht="15.75" customHeight="1" x14ac:dyDescent="0.45">
      <c r="S679" s="5"/>
      <c r="T679" s="5"/>
      <c r="U679" s="5"/>
      <c r="V679" s="5"/>
      <c r="W679" s="45"/>
    </row>
    <row r="680" spans="19:23" ht="15.75" customHeight="1" x14ac:dyDescent="0.45">
      <c r="S680" s="5"/>
      <c r="T680" s="5"/>
      <c r="U680" s="5"/>
      <c r="V680" s="5"/>
      <c r="W680" s="45"/>
    </row>
    <row r="681" spans="19:23" ht="15.75" customHeight="1" x14ac:dyDescent="0.45">
      <c r="S681" s="5"/>
      <c r="T681" s="5"/>
      <c r="U681" s="5"/>
      <c r="V681" s="5"/>
      <c r="W681" s="45"/>
    </row>
    <row r="682" spans="19:23" ht="15.75" customHeight="1" x14ac:dyDescent="0.45">
      <c r="S682" s="5"/>
      <c r="T682" s="5"/>
      <c r="U682" s="5"/>
      <c r="V682" s="5"/>
      <c r="W682" s="45"/>
    </row>
    <row r="683" spans="19:23" ht="15.75" customHeight="1" x14ac:dyDescent="0.45">
      <c r="S683" s="5"/>
      <c r="T683" s="5"/>
      <c r="U683" s="5"/>
      <c r="V683" s="5"/>
      <c r="W683" s="45"/>
    </row>
    <row r="684" spans="19:23" ht="15.75" customHeight="1" x14ac:dyDescent="0.45">
      <c r="S684" s="5"/>
      <c r="T684" s="5"/>
      <c r="U684" s="5"/>
      <c r="V684" s="5"/>
      <c r="W684" s="45"/>
    </row>
    <row r="685" spans="19:23" ht="15.75" customHeight="1" x14ac:dyDescent="0.45">
      <c r="S685" s="5"/>
      <c r="T685" s="5"/>
      <c r="U685" s="5"/>
      <c r="V685" s="5"/>
      <c r="W685" s="45"/>
    </row>
    <row r="686" spans="19:23" ht="15.75" customHeight="1" x14ac:dyDescent="0.45">
      <c r="S686" s="5"/>
      <c r="T686" s="5"/>
      <c r="U686" s="5"/>
      <c r="V686" s="5"/>
      <c r="W686" s="45"/>
    </row>
    <row r="687" spans="19:23" ht="15.75" customHeight="1" x14ac:dyDescent="0.45">
      <c r="S687" s="5"/>
      <c r="T687" s="5"/>
      <c r="U687" s="5"/>
      <c r="V687" s="5"/>
      <c r="W687" s="45"/>
    </row>
    <row r="688" spans="19:23" ht="15.75" customHeight="1" x14ac:dyDescent="0.45">
      <c r="S688" s="5"/>
      <c r="T688" s="5"/>
      <c r="U688" s="5"/>
      <c r="V688" s="5"/>
      <c r="W688" s="45"/>
    </row>
    <row r="689" spans="19:23" ht="15.75" customHeight="1" x14ac:dyDescent="0.45">
      <c r="S689" s="5"/>
      <c r="T689" s="5"/>
      <c r="U689" s="5"/>
      <c r="V689" s="5"/>
      <c r="W689" s="45"/>
    </row>
    <row r="690" spans="19:23" ht="15.75" customHeight="1" x14ac:dyDescent="0.45">
      <c r="S690" s="5"/>
      <c r="T690" s="5"/>
      <c r="U690" s="5"/>
      <c r="V690" s="5"/>
      <c r="W690" s="45"/>
    </row>
    <row r="691" spans="19:23" ht="15.75" customHeight="1" x14ac:dyDescent="0.45">
      <c r="S691" s="5"/>
      <c r="T691" s="5"/>
      <c r="U691" s="5"/>
      <c r="V691" s="5"/>
      <c r="W691" s="45"/>
    </row>
    <row r="692" spans="19:23" ht="15.75" customHeight="1" x14ac:dyDescent="0.45">
      <c r="S692" s="5"/>
      <c r="T692" s="5"/>
      <c r="U692" s="5"/>
      <c r="V692" s="5"/>
      <c r="W692" s="45"/>
    </row>
    <row r="693" spans="19:23" ht="15.75" customHeight="1" x14ac:dyDescent="0.45">
      <c r="S693" s="5"/>
      <c r="T693" s="5"/>
      <c r="U693" s="5"/>
      <c r="V693" s="5"/>
      <c r="W693" s="45"/>
    </row>
    <row r="694" spans="19:23" ht="15.75" customHeight="1" x14ac:dyDescent="0.45">
      <c r="S694" s="5"/>
      <c r="T694" s="5"/>
      <c r="U694" s="5"/>
      <c r="V694" s="5"/>
      <c r="W694" s="45"/>
    </row>
    <row r="695" spans="19:23" ht="15.75" customHeight="1" x14ac:dyDescent="0.45">
      <c r="S695" s="5"/>
      <c r="T695" s="5"/>
      <c r="U695" s="5"/>
      <c r="V695" s="5"/>
      <c r="W695" s="45"/>
    </row>
    <row r="696" spans="19:23" ht="15.75" customHeight="1" x14ac:dyDescent="0.45">
      <c r="S696" s="5"/>
      <c r="T696" s="5"/>
      <c r="U696" s="5"/>
      <c r="V696" s="5"/>
      <c r="W696" s="45"/>
    </row>
    <row r="697" spans="19:23" ht="15.75" customHeight="1" x14ac:dyDescent="0.45">
      <c r="S697" s="5"/>
      <c r="T697" s="5"/>
      <c r="U697" s="5"/>
      <c r="V697" s="5"/>
      <c r="W697" s="45"/>
    </row>
    <row r="698" spans="19:23" ht="15.75" customHeight="1" x14ac:dyDescent="0.45">
      <c r="S698" s="5"/>
      <c r="T698" s="5"/>
      <c r="U698" s="5"/>
      <c r="V698" s="5"/>
      <c r="W698" s="45"/>
    </row>
    <row r="699" spans="19:23" ht="15.75" customHeight="1" x14ac:dyDescent="0.45">
      <c r="S699" s="5"/>
      <c r="T699" s="5"/>
      <c r="U699" s="5"/>
      <c r="V699" s="5"/>
      <c r="W699" s="45"/>
    </row>
    <row r="700" spans="19:23" ht="15.75" customHeight="1" x14ac:dyDescent="0.45">
      <c r="S700" s="5"/>
      <c r="T700" s="5"/>
      <c r="U700" s="5"/>
      <c r="V700" s="5"/>
      <c r="W700" s="45"/>
    </row>
    <row r="701" spans="19:23" ht="15.75" customHeight="1" x14ac:dyDescent="0.45">
      <c r="S701" s="5"/>
      <c r="T701" s="5"/>
      <c r="U701" s="5"/>
      <c r="V701" s="5"/>
      <c r="W701" s="45"/>
    </row>
    <row r="702" spans="19:23" ht="15.75" customHeight="1" x14ac:dyDescent="0.45">
      <c r="S702" s="5"/>
      <c r="T702" s="5"/>
      <c r="U702" s="5"/>
      <c r="V702" s="5"/>
      <c r="W702" s="45"/>
    </row>
    <row r="703" spans="19:23" ht="15.75" customHeight="1" x14ac:dyDescent="0.45">
      <c r="S703" s="5"/>
      <c r="T703" s="5"/>
      <c r="U703" s="5"/>
      <c r="V703" s="5"/>
      <c r="W703" s="45"/>
    </row>
    <row r="704" spans="19:23" ht="15.75" customHeight="1" x14ac:dyDescent="0.45">
      <c r="S704" s="5"/>
      <c r="T704" s="5"/>
      <c r="U704" s="5"/>
      <c r="V704" s="5"/>
      <c r="W704" s="45"/>
    </row>
    <row r="705" spans="19:23" ht="15.75" customHeight="1" x14ac:dyDescent="0.45">
      <c r="S705" s="5"/>
      <c r="T705" s="5"/>
      <c r="U705" s="5"/>
      <c r="V705" s="5"/>
      <c r="W705" s="45"/>
    </row>
    <row r="706" spans="19:23" ht="15.75" customHeight="1" x14ac:dyDescent="0.45">
      <c r="S706" s="5"/>
      <c r="T706" s="5"/>
      <c r="U706" s="5"/>
      <c r="V706" s="5"/>
      <c r="W706" s="45"/>
    </row>
    <row r="707" spans="19:23" ht="15.75" customHeight="1" x14ac:dyDescent="0.45">
      <c r="S707" s="5"/>
      <c r="T707" s="5"/>
      <c r="U707" s="5"/>
      <c r="V707" s="5"/>
      <c r="W707" s="45"/>
    </row>
    <row r="708" spans="19:23" ht="15.75" customHeight="1" x14ac:dyDescent="0.45">
      <c r="S708" s="5"/>
      <c r="T708" s="5"/>
      <c r="U708" s="5"/>
      <c r="V708" s="5"/>
      <c r="W708" s="45"/>
    </row>
    <row r="709" spans="19:23" ht="15.75" customHeight="1" x14ac:dyDescent="0.45">
      <c r="S709" s="5"/>
      <c r="T709" s="5"/>
      <c r="U709" s="5"/>
      <c r="V709" s="5"/>
      <c r="W709" s="45"/>
    </row>
    <row r="710" spans="19:23" ht="15.75" customHeight="1" x14ac:dyDescent="0.45">
      <c r="S710" s="5"/>
      <c r="T710" s="5"/>
      <c r="U710" s="5"/>
      <c r="V710" s="5"/>
      <c r="W710" s="45"/>
    </row>
    <row r="711" spans="19:23" ht="15.75" customHeight="1" x14ac:dyDescent="0.45">
      <c r="S711" s="5"/>
      <c r="T711" s="5"/>
      <c r="U711" s="5"/>
      <c r="V711" s="5"/>
      <c r="W711" s="45"/>
    </row>
    <row r="712" spans="19:23" ht="15.75" customHeight="1" x14ac:dyDescent="0.45">
      <c r="S712" s="5"/>
      <c r="T712" s="5"/>
      <c r="U712" s="5"/>
      <c r="V712" s="5"/>
      <c r="W712" s="45"/>
    </row>
    <row r="713" spans="19:23" ht="15.75" customHeight="1" x14ac:dyDescent="0.45">
      <c r="S713" s="5"/>
      <c r="T713" s="5"/>
      <c r="U713" s="5"/>
      <c r="V713" s="5"/>
      <c r="W713" s="45"/>
    </row>
    <row r="714" spans="19:23" ht="15.75" customHeight="1" x14ac:dyDescent="0.45">
      <c r="S714" s="5"/>
      <c r="T714" s="5"/>
      <c r="U714" s="5"/>
      <c r="V714" s="5"/>
      <c r="W714" s="45"/>
    </row>
    <row r="715" spans="19:23" ht="15.75" customHeight="1" x14ac:dyDescent="0.45">
      <c r="S715" s="5"/>
      <c r="T715" s="5"/>
      <c r="U715" s="5"/>
      <c r="V715" s="5"/>
      <c r="W715" s="45"/>
    </row>
    <row r="716" spans="19:23" ht="15.75" customHeight="1" x14ac:dyDescent="0.45">
      <c r="S716" s="5"/>
      <c r="T716" s="5"/>
      <c r="U716" s="5"/>
      <c r="V716" s="5"/>
      <c r="W716" s="45"/>
    </row>
    <row r="717" spans="19:23" ht="15.75" customHeight="1" x14ac:dyDescent="0.45">
      <c r="S717" s="5"/>
      <c r="T717" s="5"/>
      <c r="U717" s="5"/>
      <c r="V717" s="5"/>
      <c r="W717" s="45"/>
    </row>
    <row r="718" spans="19:23" ht="15.75" customHeight="1" x14ac:dyDescent="0.45">
      <c r="S718" s="5"/>
      <c r="T718" s="5"/>
      <c r="U718" s="5"/>
      <c r="V718" s="5"/>
      <c r="W718" s="45"/>
    </row>
    <row r="719" spans="19:23" ht="15.75" customHeight="1" x14ac:dyDescent="0.45">
      <c r="S719" s="5"/>
      <c r="T719" s="5"/>
      <c r="U719" s="5"/>
      <c r="V719" s="5"/>
      <c r="W719" s="45"/>
    </row>
    <row r="720" spans="19:23" ht="15.75" customHeight="1" x14ac:dyDescent="0.45">
      <c r="S720" s="5"/>
      <c r="T720" s="5"/>
      <c r="U720" s="5"/>
      <c r="V720" s="5"/>
      <c r="W720" s="45"/>
    </row>
    <row r="721" spans="19:23" ht="15.75" customHeight="1" x14ac:dyDescent="0.45">
      <c r="S721" s="5"/>
      <c r="T721" s="5"/>
      <c r="U721" s="5"/>
      <c r="V721" s="5"/>
      <c r="W721" s="45"/>
    </row>
    <row r="722" spans="19:23" ht="15.75" customHeight="1" x14ac:dyDescent="0.45">
      <c r="S722" s="5"/>
      <c r="T722" s="5"/>
      <c r="U722" s="5"/>
      <c r="V722" s="5"/>
      <c r="W722" s="45"/>
    </row>
    <row r="723" spans="19:23" ht="15.75" customHeight="1" x14ac:dyDescent="0.45">
      <c r="S723" s="5"/>
      <c r="T723" s="5"/>
      <c r="U723" s="5"/>
      <c r="V723" s="5"/>
      <c r="W723" s="45"/>
    </row>
    <row r="724" spans="19:23" ht="15.75" customHeight="1" x14ac:dyDescent="0.45">
      <c r="S724" s="5"/>
      <c r="T724" s="5"/>
      <c r="U724" s="5"/>
      <c r="V724" s="5"/>
      <c r="W724" s="45"/>
    </row>
    <row r="725" spans="19:23" ht="15.75" customHeight="1" x14ac:dyDescent="0.45">
      <c r="S725" s="5"/>
      <c r="T725" s="5"/>
      <c r="U725" s="5"/>
      <c r="V725" s="5"/>
      <c r="W725" s="45"/>
    </row>
    <row r="726" spans="19:23" ht="15.75" customHeight="1" x14ac:dyDescent="0.45">
      <c r="S726" s="5"/>
      <c r="T726" s="5"/>
      <c r="U726" s="5"/>
      <c r="V726" s="5"/>
      <c r="W726" s="45"/>
    </row>
    <row r="727" spans="19:23" ht="15.75" customHeight="1" x14ac:dyDescent="0.45">
      <c r="S727" s="5"/>
      <c r="T727" s="5"/>
      <c r="U727" s="5"/>
      <c r="V727" s="5"/>
      <c r="W727" s="45"/>
    </row>
    <row r="728" spans="19:23" ht="15.75" customHeight="1" x14ac:dyDescent="0.45">
      <c r="S728" s="5"/>
      <c r="T728" s="5"/>
      <c r="U728" s="5"/>
      <c r="V728" s="5"/>
      <c r="W728" s="45"/>
    </row>
    <row r="729" spans="19:23" ht="15.75" customHeight="1" x14ac:dyDescent="0.45">
      <c r="S729" s="5"/>
      <c r="T729" s="5"/>
      <c r="U729" s="5"/>
      <c r="V729" s="5"/>
      <c r="W729" s="45"/>
    </row>
    <row r="730" spans="19:23" ht="15.75" customHeight="1" x14ac:dyDescent="0.45">
      <c r="S730" s="5"/>
      <c r="T730" s="5"/>
      <c r="U730" s="5"/>
      <c r="V730" s="5"/>
      <c r="W730" s="45"/>
    </row>
    <row r="731" spans="19:23" ht="15.75" customHeight="1" x14ac:dyDescent="0.45">
      <c r="S731" s="5"/>
      <c r="T731" s="5"/>
      <c r="U731" s="5"/>
      <c r="V731" s="5"/>
      <c r="W731" s="45"/>
    </row>
    <row r="732" spans="19:23" ht="15.75" customHeight="1" x14ac:dyDescent="0.45">
      <c r="S732" s="5"/>
      <c r="T732" s="5"/>
      <c r="U732" s="5"/>
      <c r="V732" s="5"/>
      <c r="W732" s="45"/>
    </row>
    <row r="733" spans="19:23" ht="15.75" customHeight="1" x14ac:dyDescent="0.45">
      <c r="S733" s="5"/>
      <c r="T733" s="5"/>
      <c r="U733" s="5"/>
      <c r="V733" s="5"/>
      <c r="W733" s="45"/>
    </row>
    <row r="734" spans="19:23" ht="15.75" customHeight="1" x14ac:dyDescent="0.45">
      <c r="S734" s="5"/>
      <c r="T734" s="5"/>
      <c r="U734" s="5"/>
      <c r="V734" s="5"/>
      <c r="W734" s="45"/>
    </row>
    <row r="735" spans="19:23" ht="15.75" customHeight="1" x14ac:dyDescent="0.45">
      <c r="S735" s="5"/>
      <c r="T735" s="5"/>
      <c r="U735" s="5"/>
      <c r="V735" s="5"/>
      <c r="W735" s="45"/>
    </row>
    <row r="736" spans="19:23" ht="15.75" customHeight="1" x14ac:dyDescent="0.45">
      <c r="S736" s="5"/>
      <c r="T736" s="5"/>
      <c r="U736" s="5"/>
      <c r="V736" s="5"/>
      <c r="W736" s="45"/>
    </row>
    <row r="737" spans="19:23" ht="15.75" customHeight="1" x14ac:dyDescent="0.45">
      <c r="S737" s="5"/>
      <c r="T737" s="5"/>
      <c r="U737" s="5"/>
      <c r="V737" s="5"/>
      <c r="W737" s="45"/>
    </row>
    <row r="738" spans="19:23" ht="15.75" customHeight="1" x14ac:dyDescent="0.45">
      <c r="S738" s="5"/>
      <c r="T738" s="5"/>
      <c r="U738" s="5"/>
      <c r="V738" s="5"/>
      <c r="W738" s="45"/>
    </row>
    <row r="739" spans="19:23" ht="15.75" customHeight="1" x14ac:dyDescent="0.45">
      <c r="S739" s="5"/>
      <c r="T739" s="5"/>
      <c r="U739" s="5"/>
      <c r="V739" s="5"/>
      <c r="W739" s="45"/>
    </row>
    <row r="740" spans="19:23" ht="15.75" customHeight="1" x14ac:dyDescent="0.45">
      <c r="S740" s="5"/>
      <c r="T740" s="5"/>
      <c r="U740" s="5"/>
      <c r="V740" s="5"/>
      <c r="W740" s="45"/>
    </row>
    <row r="741" spans="19:23" ht="15.75" customHeight="1" x14ac:dyDescent="0.45">
      <c r="S741" s="5"/>
      <c r="T741" s="5"/>
      <c r="U741" s="5"/>
      <c r="V741" s="5"/>
      <c r="W741" s="45"/>
    </row>
    <row r="742" spans="19:23" ht="15.75" customHeight="1" x14ac:dyDescent="0.45">
      <c r="S742" s="5"/>
      <c r="T742" s="5"/>
      <c r="U742" s="5"/>
      <c r="V742" s="5"/>
      <c r="W742" s="45"/>
    </row>
    <row r="743" spans="19:23" ht="15.75" customHeight="1" x14ac:dyDescent="0.45">
      <c r="S743" s="5"/>
      <c r="T743" s="5"/>
      <c r="U743" s="5"/>
      <c r="V743" s="5"/>
      <c r="W743" s="45"/>
    </row>
    <row r="744" spans="19:23" ht="15.75" customHeight="1" x14ac:dyDescent="0.45">
      <c r="S744" s="5"/>
      <c r="T744" s="5"/>
      <c r="U744" s="5"/>
      <c r="V744" s="5"/>
      <c r="W744" s="45"/>
    </row>
    <row r="745" spans="19:23" ht="15.75" customHeight="1" x14ac:dyDescent="0.45">
      <c r="S745" s="5"/>
      <c r="T745" s="5"/>
      <c r="U745" s="5"/>
      <c r="V745" s="5"/>
      <c r="W745" s="45"/>
    </row>
    <row r="746" spans="19:23" ht="15.75" customHeight="1" x14ac:dyDescent="0.45">
      <c r="S746" s="5"/>
      <c r="T746" s="5"/>
      <c r="U746" s="5"/>
      <c r="V746" s="5"/>
      <c r="W746" s="45"/>
    </row>
    <row r="747" spans="19:23" ht="15.75" customHeight="1" x14ac:dyDescent="0.45">
      <c r="S747" s="5"/>
      <c r="T747" s="5"/>
      <c r="U747" s="5"/>
      <c r="V747" s="5"/>
      <c r="W747" s="45"/>
    </row>
    <row r="748" spans="19:23" ht="15.75" customHeight="1" x14ac:dyDescent="0.45">
      <c r="S748" s="5"/>
      <c r="T748" s="5"/>
      <c r="U748" s="5"/>
      <c r="V748" s="5"/>
      <c r="W748" s="45"/>
    </row>
    <row r="749" spans="19:23" ht="15.75" customHeight="1" x14ac:dyDescent="0.45">
      <c r="S749" s="5"/>
      <c r="T749" s="5"/>
      <c r="U749" s="5"/>
      <c r="V749" s="5"/>
      <c r="W749" s="45"/>
    </row>
    <row r="750" spans="19:23" ht="15.75" customHeight="1" x14ac:dyDescent="0.45">
      <c r="S750" s="5"/>
      <c r="T750" s="5"/>
      <c r="U750" s="5"/>
      <c r="V750" s="5"/>
      <c r="W750" s="45"/>
    </row>
    <row r="751" spans="19:23" ht="15.75" customHeight="1" x14ac:dyDescent="0.45">
      <c r="S751" s="5"/>
      <c r="T751" s="5"/>
      <c r="U751" s="5"/>
      <c r="V751" s="5"/>
      <c r="W751" s="45"/>
    </row>
    <row r="752" spans="19:23" ht="15.75" customHeight="1" x14ac:dyDescent="0.45">
      <c r="S752" s="5"/>
      <c r="T752" s="5"/>
      <c r="U752" s="5"/>
      <c r="V752" s="5"/>
      <c r="W752" s="45"/>
    </row>
    <row r="753" spans="19:23" ht="15.75" customHeight="1" x14ac:dyDescent="0.45">
      <c r="S753" s="5"/>
      <c r="T753" s="5"/>
      <c r="U753" s="5"/>
      <c r="V753" s="5"/>
      <c r="W753" s="45"/>
    </row>
    <row r="754" spans="19:23" ht="15.75" customHeight="1" x14ac:dyDescent="0.45">
      <c r="S754" s="5"/>
      <c r="T754" s="5"/>
      <c r="U754" s="5"/>
      <c r="V754" s="5"/>
      <c r="W754" s="45"/>
    </row>
    <row r="755" spans="19:23" ht="15.75" customHeight="1" x14ac:dyDescent="0.45">
      <c r="S755" s="5"/>
      <c r="T755" s="5"/>
      <c r="U755" s="5"/>
      <c r="V755" s="5"/>
      <c r="W755" s="45"/>
    </row>
    <row r="756" spans="19:23" ht="15.75" customHeight="1" x14ac:dyDescent="0.45">
      <c r="S756" s="5"/>
      <c r="T756" s="5"/>
      <c r="U756" s="5"/>
      <c r="V756" s="5"/>
      <c r="W756" s="45"/>
    </row>
    <row r="757" spans="19:23" ht="15.75" customHeight="1" x14ac:dyDescent="0.45">
      <c r="S757" s="5"/>
      <c r="T757" s="5"/>
      <c r="U757" s="5"/>
      <c r="V757" s="5"/>
      <c r="W757" s="45"/>
    </row>
    <row r="758" spans="19:23" ht="15.75" customHeight="1" x14ac:dyDescent="0.45">
      <c r="S758" s="5"/>
      <c r="T758" s="5"/>
      <c r="U758" s="5"/>
      <c r="V758" s="5"/>
      <c r="W758" s="45"/>
    </row>
    <row r="759" spans="19:23" ht="15.75" customHeight="1" x14ac:dyDescent="0.45">
      <c r="S759" s="5"/>
      <c r="T759" s="5"/>
      <c r="U759" s="5"/>
      <c r="V759" s="5"/>
      <c r="W759" s="45"/>
    </row>
    <row r="760" spans="19:23" ht="15.75" customHeight="1" x14ac:dyDescent="0.45">
      <c r="S760" s="5"/>
      <c r="T760" s="5"/>
      <c r="U760" s="5"/>
      <c r="V760" s="5"/>
      <c r="W760" s="45"/>
    </row>
    <row r="761" spans="19:23" ht="15.75" customHeight="1" x14ac:dyDescent="0.45">
      <c r="S761" s="5"/>
      <c r="T761" s="5"/>
      <c r="U761" s="5"/>
      <c r="V761" s="5"/>
      <c r="W761" s="45"/>
    </row>
    <row r="762" spans="19:23" ht="15.75" customHeight="1" x14ac:dyDescent="0.45">
      <c r="S762" s="5"/>
      <c r="T762" s="5"/>
      <c r="U762" s="5"/>
      <c r="V762" s="5"/>
      <c r="W762" s="45"/>
    </row>
    <row r="763" spans="19:23" ht="15.75" customHeight="1" x14ac:dyDescent="0.45">
      <c r="S763" s="5"/>
      <c r="T763" s="5"/>
      <c r="U763" s="5"/>
      <c r="V763" s="5"/>
      <c r="W763" s="45"/>
    </row>
    <row r="764" spans="19:23" ht="15.75" customHeight="1" x14ac:dyDescent="0.45">
      <c r="S764" s="5"/>
      <c r="T764" s="5"/>
      <c r="U764" s="5"/>
      <c r="V764" s="5"/>
      <c r="W764" s="45"/>
    </row>
    <row r="765" spans="19:23" ht="15.75" customHeight="1" x14ac:dyDescent="0.45">
      <c r="S765" s="5"/>
      <c r="T765" s="5"/>
      <c r="U765" s="5"/>
      <c r="V765" s="5"/>
      <c r="W765" s="45"/>
    </row>
    <row r="766" spans="19:23" ht="15.75" customHeight="1" x14ac:dyDescent="0.45">
      <c r="S766" s="5"/>
      <c r="T766" s="5"/>
      <c r="U766" s="5"/>
      <c r="V766" s="5"/>
      <c r="W766" s="45"/>
    </row>
    <row r="767" spans="19:23" ht="15.75" customHeight="1" x14ac:dyDescent="0.45">
      <c r="S767" s="5"/>
      <c r="T767" s="5"/>
      <c r="U767" s="5"/>
      <c r="V767" s="5"/>
      <c r="W767" s="45"/>
    </row>
    <row r="768" spans="19:23" ht="15.75" customHeight="1" x14ac:dyDescent="0.45">
      <c r="S768" s="5"/>
      <c r="T768" s="5"/>
      <c r="U768" s="5"/>
      <c r="V768" s="5"/>
      <c r="W768" s="45"/>
    </row>
    <row r="769" spans="19:23" ht="15.75" customHeight="1" x14ac:dyDescent="0.45">
      <c r="S769" s="5"/>
      <c r="T769" s="5"/>
      <c r="U769" s="5"/>
      <c r="V769" s="5"/>
      <c r="W769" s="45"/>
    </row>
    <row r="770" spans="19:23" ht="15.75" customHeight="1" x14ac:dyDescent="0.45">
      <c r="S770" s="5"/>
      <c r="T770" s="5"/>
      <c r="U770" s="5"/>
      <c r="V770" s="5"/>
      <c r="W770" s="45"/>
    </row>
    <row r="771" spans="19:23" ht="15.75" customHeight="1" x14ac:dyDescent="0.45">
      <c r="S771" s="5"/>
      <c r="T771" s="5"/>
      <c r="U771" s="5"/>
      <c r="V771" s="5"/>
      <c r="W771" s="45"/>
    </row>
    <row r="772" spans="19:23" ht="15.75" customHeight="1" x14ac:dyDescent="0.45">
      <c r="S772" s="5"/>
      <c r="T772" s="5"/>
      <c r="U772" s="5"/>
      <c r="V772" s="5"/>
      <c r="W772" s="45"/>
    </row>
    <row r="773" spans="19:23" ht="15.75" customHeight="1" x14ac:dyDescent="0.45">
      <c r="S773" s="5"/>
      <c r="T773" s="5"/>
      <c r="U773" s="5"/>
      <c r="V773" s="5"/>
      <c r="W773" s="45"/>
    </row>
    <row r="774" spans="19:23" ht="15.75" customHeight="1" x14ac:dyDescent="0.45">
      <c r="S774" s="5"/>
      <c r="T774" s="5"/>
      <c r="U774" s="5"/>
      <c r="V774" s="5"/>
      <c r="W774" s="45"/>
    </row>
    <row r="775" spans="19:23" ht="15.75" customHeight="1" x14ac:dyDescent="0.45">
      <c r="S775" s="5"/>
      <c r="T775" s="5"/>
      <c r="U775" s="5"/>
      <c r="V775" s="5"/>
      <c r="W775" s="45"/>
    </row>
    <row r="776" spans="19:23" ht="15.75" customHeight="1" x14ac:dyDescent="0.45">
      <c r="S776" s="5"/>
      <c r="T776" s="5"/>
      <c r="U776" s="5"/>
      <c r="V776" s="5"/>
      <c r="W776" s="45"/>
    </row>
    <row r="777" spans="19:23" ht="15.75" customHeight="1" x14ac:dyDescent="0.45">
      <c r="S777" s="5"/>
      <c r="T777" s="5"/>
      <c r="U777" s="5"/>
      <c r="V777" s="5"/>
      <c r="W777" s="45"/>
    </row>
    <row r="778" spans="19:23" ht="15.75" customHeight="1" x14ac:dyDescent="0.45">
      <c r="S778" s="5"/>
      <c r="T778" s="5"/>
      <c r="U778" s="5"/>
      <c r="V778" s="5"/>
      <c r="W778" s="45"/>
    </row>
    <row r="779" spans="19:23" ht="15.75" customHeight="1" x14ac:dyDescent="0.45">
      <c r="S779" s="5"/>
      <c r="T779" s="5"/>
      <c r="U779" s="5"/>
      <c r="V779" s="5"/>
      <c r="W779" s="45"/>
    </row>
    <row r="780" spans="19:23" ht="15.75" customHeight="1" x14ac:dyDescent="0.45">
      <c r="S780" s="5"/>
      <c r="T780" s="5"/>
      <c r="U780" s="5"/>
      <c r="V780" s="5"/>
      <c r="W780" s="45"/>
    </row>
    <row r="781" spans="19:23" ht="15.75" customHeight="1" x14ac:dyDescent="0.45">
      <c r="S781" s="5"/>
      <c r="T781" s="5"/>
      <c r="U781" s="5"/>
      <c r="V781" s="5"/>
      <c r="W781" s="45"/>
    </row>
    <row r="782" spans="19:23" ht="15.75" customHeight="1" x14ac:dyDescent="0.45">
      <c r="S782" s="5"/>
      <c r="T782" s="5"/>
      <c r="U782" s="5"/>
      <c r="V782" s="5"/>
      <c r="W782" s="45"/>
    </row>
    <row r="783" spans="19:23" ht="15.75" customHeight="1" x14ac:dyDescent="0.45">
      <c r="S783" s="5"/>
      <c r="T783" s="5"/>
      <c r="U783" s="5"/>
      <c r="V783" s="5"/>
      <c r="W783" s="45"/>
    </row>
    <row r="784" spans="19:23" ht="15.75" customHeight="1" x14ac:dyDescent="0.45">
      <c r="S784" s="5"/>
      <c r="T784" s="5"/>
      <c r="U784" s="5"/>
      <c r="V784" s="5"/>
      <c r="W784" s="45"/>
    </row>
    <row r="785" spans="19:23" ht="15.75" customHeight="1" x14ac:dyDescent="0.45">
      <c r="S785" s="5"/>
      <c r="T785" s="5"/>
      <c r="U785" s="5"/>
      <c r="V785" s="5"/>
      <c r="W785" s="45"/>
    </row>
    <row r="786" spans="19:23" ht="15.75" customHeight="1" x14ac:dyDescent="0.45">
      <c r="S786" s="5"/>
      <c r="T786" s="5"/>
      <c r="U786" s="5"/>
      <c r="V786" s="5"/>
      <c r="W786" s="45"/>
    </row>
    <row r="787" spans="19:23" ht="15.75" customHeight="1" x14ac:dyDescent="0.45">
      <c r="S787" s="5"/>
      <c r="T787" s="5"/>
      <c r="U787" s="5"/>
      <c r="V787" s="5"/>
      <c r="W787" s="45"/>
    </row>
    <row r="788" spans="19:23" ht="15.75" customHeight="1" x14ac:dyDescent="0.45">
      <c r="S788" s="5"/>
      <c r="T788" s="5"/>
      <c r="U788" s="5"/>
      <c r="V788" s="5"/>
      <c r="W788" s="45"/>
    </row>
    <row r="789" spans="19:23" ht="15.75" customHeight="1" x14ac:dyDescent="0.45">
      <c r="S789" s="5"/>
      <c r="T789" s="5"/>
      <c r="U789" s="5"/>
      <c r="V789" s="5"/>
      <c r="W789" s="45"/>
    </row>
    <row r="790" spans="19:23" ht="15.75" customHeight="1" x14ac:dyDescent="0.45">
      <c r="S790" s="5"/>
      <c r="T790" s="5"/>
      <c r="U790" s="5"/>
      <c r="V790" s="5"/>
      <c r="W790" s="45"/>
    </row>
    <row r="791" spans="19:23" ht="15.75" customHeight="1" x14ac:dyDescent="0.45">
      <c r="S791" s="5"/>
      <c r="T791" s="5"/>
      <c r="U791" s="5"/>
      <c r="V791" s="5"/>
      <c r="W791" s="45"/>
    </row>
    <row r="792" spans="19:23" ht="15.75" customHeight="1" x14ac:dyDescent="0.45">
      <c r="S792" s="5"/>
      <c r="T792" s="5"/>
      <c r="U792" s="5"/>
      <c r="V792" s="5"/>
      <c r="W792" s="45"/>
    </row>
    <row r="793" spans="19:23" ht="15.75" customHeight="1" x14ac:dyDescent="0.45">
      <c r="S793" s="5"/>
      <c r="T793" s="5"/>
      <c r="U793" s="5"/>
      <c r="V793" s="5"/>
      <c r="W793" s="45"/>
    </row>
    <row r="794" spans="19:23" ht="15.75" customHeight="1" x14ac:dyDescent="0.45">
      <c r="S794" s="5"/>
      <c r="T794" s="5"/>
      <c r="U794" s="5"/>
      <c r="V794" s="5"/>
      <c r="W794" s="45"/>
    </row>
    <row r="795" spans="19:23" ht="15.75" customHeight="1" x14ac:dyDescent="0.45">
      <c r="S795" s="5"/>
      <c r="T795" s="5"/>
      <c r="U795" s="5"/>
      <c r="V795" s="5"/>
      <c r="W795" s="45"/>
    </row>
    <row r="796" spans="19:23" ht="15.75" customHeight="1" x14ac:dyDescent="0.45">
      <c r="S796" s="5"/>
      <c r="T796" s="5"/>
      <c r="U796" s="5"/>
      <c r="V796" s="5"/>
      <c r="W796" s="45"/>
    </row>
    <row r="797" spans="19:23" ht="15.75" customHeight="1" x14ac:dyDescent="0.45">
      <c r="S797" s="5"/>
      <c r="T797" s="5"/>
      <c r="U797" s="5"/>
      <c r="V797" s="5"/>
      <c r="W797" s="45"/>
    </row>
    <row r="798" spans="19:23" ht="15.75" customHeight="1" x14ac:dyDescent="0.45">
      <c r="S798" s="5"/>
      <c r="T798" s="5"/>
      <c r="U798" s="5"/>
      <c r="V798" s="5"/>
      <c r="W798" s="45"/>
    </row>
    <row r="799" spans="19:23" ht="15.75" customHeight="1" x14ac:dyDescent="0.45">
      <c r="S799" s="5"/>
      <c r="T799" s="5"/>
      <c r="U799" s="5"/>
      <c r="V799" s="5"/>
      <c r="W799" s="45"/>
    </row>
    <row r="800" spans="19:23" ht="15.75" customHeight="1" x14ac:dyDescent="0.45">
      <c r="S800" s="5"/>
      <c r="T800" s="5"/>
      <c r="U800" s="5"/>
      <c r="V800" s="5"/>
      <c r="W800" s="45"/>
    </row>
    <row r="801" spans="19:23" ht="15.75" customHeight="1" x14ac:dyDescent="0.45">
      <c r="S801" s="5"/>
      <c r="T801" s="5"/>
      <c r="U801" s="5"/>
      <c r="V801" s="5"/>
      <c r="W801" s="45"/>
    </row>
    <row r="802" spans="19:23" ht="15.75" customHeight="1" x14ac:dyDescent="0.45">
      <c r="S802" s="5"/>
      <c r="T802" s="5"/>
      <c r="U802" s="5"/>
      <c r="V802" s="5"/>
      <c r="W802" s="45"/>
    </row>
    <row r="803" spans="19:23" ht="15.75" customHeight="1" x14ac:dyDescent="0.45">
      <c r="S803" s="5"/>
      <c r="T803" s="5"/>
      <c r="U803" s="5"/>
      <c r="V803" s="5"/>
      <c r="W803" s="45"/>
    </row>
    <row r="804" spans="19:23" ht="15.75" customHeight="1" x14ac:dyDescent="0.45">
      <c r="S804" s="5"/>
      <c r="T804" s="5"/>
      <c r="U804" s="5"/>
      <c r="V804" s="5"/>
      <c r="W804" s="45"/>
    </row>
    <row r="805" spans="19:23" ht="15.75" customHeight="1" x14ac:dyDescent="0.45">
      <c r="S805" s="5"/>
      <c r="T805" s="5"/>
      <c r="U805" s="5"/>
      <c r="V805" s="5"/>
      <c r="W805" s="45"/>
    </row>
    <row r="806" spans="19:23" ht="15.75" customHeight="1" x14ac:dyDescent="0.45">
      <c r="S806" s="5"/>
      <c r="T806" s="5"/>
      <c r="U806" s="5"/>
      <c r="V806" s="5"/>
      <c r="W806" s="45"/>
    </row>
    <row r="807" spans="19:23" ht="15.75" customHeight="1" x14ac:dyDescent="0.45">
      <c r="S807" s="5"/>
      <c r="T807" s="5"/>
      <c r="U807" s="5"/>
      <c r="V807" s="5"/>
      <c r="W807" s="45"/>
    </row>
    <row r="808" spans="19:23" ht="15.75" customHeight="1" x14ac:dyDescent="0.45">
      <c r="S808" s="5"/>
      <c r="T808" s="5"/>
      <c r="U808" s="5"/>
      <c r="V808" s="5"/>
      <c r="W808" s="45"/>
    </row>
    <row r="809" spans="19:23" ht="15.75" customHeight="1" x14ac:dyDescent="0.45">
      <c r="S809" s="5"/>
      <c r="T809" s="5"/>
      <c r="U809" s="5"/>
      <c r="V809" s="5"/>
      <c r="W809" s="45"/>
    </row>
    <row r="810" spans="19:23" ht="15.75" customHeight="1" x14ac:dyDescent="0.45">
      <c r="S810" s="5"/>
      <c r="T810" s="5"/>
      <c r="U810" s="5"/>
      <c r="V810" s="5"/>
      <c r="W810" s="45"/>
    </row>
    <row r="811" spans="19:23" ht="15.75" customHeight="1" x14ac:dyDescent="0.45">
      <c r="S811" s="5"/>
      <c r="T811" s="5"/>
      <c r="U811" s="5"/>
      <c r="V811" s="5"/>
      <c r="W811" s="45"/>
    </row>
    <row r="812" spans="19:23" ht="15.75" customHeight="1" x14ac:dyDescent="0.45">
      <c r="S812" s="5"/>
      <c r="T812" s="5"/>
      <c r="U812" s="5"/>
      <c r="V812" s="5"/>
      <c r="W812" s="45"/>
    </row>
    <row r="813" spans="19:23" ht="15.75" customHeight="1" x14ac:dyDescent="0.45">
      <c r="S813" s="5"/>
      <c r="T813" s="5"/>
      <c r="U813" s="5"/>
      <c r="V813" s="5"/>
      <c r="W813" s="45"/>
    </row>
    <row r="814" spans="19:23" ht="15.75" customHeight="1" x14ac:dyDescent="0.45">
      <c r="S814" s="5"/>
      <c r="T814" s="5"/>
      <c r="U814" s="5"/>
      <c r="V814" s="5"/>
      <c r="W814" s="45"/>
    </row>
    <row r="815" spans="19:23" ht="15.75" customHeight="1" x14ac:dyDescent="0.45">
      <c r="S815" s="5"/>
      <c r="T815" s="5"/>
      <c r="U815" s="5"/>
      <c r="V815" s="5"/>
      <c r="W815" s="45"/>
    </row>
    <row r="816" spans="19:23" ht="15.75" customHeight="1" x14ac:dyDescent="0.45">
      <c r="S816" s="5"/>
      <c r="T816" s="5"/>
      <c r="U816" s="5"/>
      <c r="V816" s="5"/>
      <c r="W816" s="45"/>
    </row>
    <row r="817" spans="19:23" ht="15.75" customHeight="1" x14ac:dyDescent="0.45">
      <c r="S817" s="5"/>
      <c r="T817" s="5"/>
      <c r="U817" s="5"/>
      <c r="V817" s="5"/>
      <c r="W817" s="45"/>
    </row>
    <row r="818" spans="19:23" ht="15.75" customHeight="1" x14ac:dyDescent="0.45">
      <c r="S818" s="5"/>
      <c r="T818" s="5"/>
      <c r="U818" s="5"/>
      <c r="V818" s="5"/>
      <c r="W818" s="45"/>
    </row>
    <row r="819" spans="19:23" ht="15.75" customHeight="1" x14ac:dyDescent="0.45">
      <c r="S819" s="5"/>
      <c r="T819" s="5"/>
      <c r="U819" s="5"/>
      <c r="V819" s="5"/>
      <c r="W819" s="45"/>
    </row>
    <row r="820" spans="19:23" ht="15.75" customHeight="1" x14ac:dyDescent="0.45">
      <c r="S820" s="5"/>
      <c r="T820" s="5"/>
      <c r="U820" s="5"/>
      <c r="V820" s="5"/>
      <c r="W820" s="45"/>
    </row>
    <row r="821" spans="19:23" ht="15.75" customHeight="1" x14ac:dyDescent="0.45">
      <c r="S821" s="5"/>
      <c r="T821" s="5"/>
      <c r="U821" s="5"/>
      <c r="V821" s="5"/>
      <c r="W821" s="45"/>
    </row>
    <row r="822" spans="19:23" ht="15.75" customHeight="1" x14ac:dyDescent="0.45">
      <c r="S822" s="5"/>
      <c r="T822" s="5"/>
      <c r="U822" s="5"/>
      <c r="V822" s="5"/>
      <c r="W822" s="45"/>
    </row>
    <row r="823" spans="19:23" ht="15.75" customHeight="1" x14ac:dyDescent="0.45">
      <c r="S823" s="5"/>
      <c r="T823" s="5"/>
      <c r="U823" s="5"/>
      <c r="V823" s="5"/>
      <c r="W823" s="45"/>
    </row>
    <row r="824" spans="19:23" ht="15.75" customHeight="1" x14ac:dyDescent="0.45">
      <c r="S824" s="5"/>
      <c r="T824" s="5"/>
      <c r="U824" s="5"/>
      <c r="V824" s="5"/>
      <c r="W824" s="45"/>
    </row>
    <row r="825" spans="19:23" ht="15.75" customHeight="1" x14ac:dyDescent="0.45">
      <c r="S825" s="5"/>
      <c r="T825" s="5"/>
      <c r="U825" s="5"/>
      <c r="V825" s="5"/>
      <c r="W825" s="45"/>
    </row>
    <row r="826" spans="19:23" ht="15.75" customHeight="1" x14ac:dyDescent="0.45">
      <c r="S826" s="5"/>
      <c r="T826" s="5"/>
      <c r="U826" s="5"/>
      <c r="V826" s="5"/>
      <c r="W826" s="45"/>
    </row>
    <row r="827" spans="19:23" ht="15.75" customHeight="1" x14ac:dyDescent="0.45">
      <c r="S827" s="5"/>
      <c r="T827" s="5"/>
      <c r="U827" s="5"/>
      <c r="V827" s="5"/>
      <c r="W827" s="45"/>
    </row>
    <row r="828" spans="19:23" ht="15.75" customHeight="1" x14ac:dyDescent="0.45">
      <c r="S828" s="5"/>
      <c r="T828" s="5"/>
      <c r="U828" s="5"/>
      <c r="V828" s="5"/>
      <c r="W828" s="45"/>
    </row>
    <row r="829" spans="19:23" ht="15.75" customHeight="1" x14ac:dyDescent="0.45">
      <c r="S829" s="5"/>
      <c r="T829" s="5"/>
      <c r="U829" s="5"/>
      <c r="V829" s="5"/>
      <c r="W829" s="45"/>
    </row>
    <row r="830" spans="19:23" ht="15.75" customHeight="1" x14ac:dyDescent="0.45">
      <c r="S830" s="5"/>
      <c r="T830" s="5"/>
      <c r="U830" s="5"/>
      <c r="V830" s="5"/>
      <c r="W830" s="45"/>
    </row>
    <row r="831" spans="19:23" ht="15.75" customHeight="1" x14ac:dyDescent="0.45">
      <c r="S831" s="5"/>
      <c r="T831" s="5"/>
      <c r="U831" s="5"/>
      <c r="V831" s="5"/>
      <c r="W831" s="45"/>
    </row>
    <row r="832" spans="19:23" ht="15.75" customHeight="1" x14ac:dyDescent="0.45">
      <c r="S832" s="5"/>
      <c r="T832" s="5"/>
      <c r="U832" s="5"/>
      <c r="V832" s="5"/>
      <c r="W832" s="45"/>
    </row>
    <row r="833" spans="19:23" ht="15.75" customHeight="1" x14ac:dyDescent="0.45">
      <c r="S833" s="5"/>
      <c r="T833" s="5"/>
      <c r="U833" s="5"/>
      <c r="V833" s="5"/>
      <c r="W833" s="45"/>
    </row>
    <row r="834" spans="19:23" ht="15.75" customHeight="1" x14ac:dyDescent="0.45">
      <c r="S834" s="5"/>
      <c r="T834" s="5"/>
      <c r="U834" s="5"/>
      <c r="V834" s="5"/>
      <c r="W834" s="45"/>
    </row>
    <row r="835" spans="19:23" ht="15.75" customHeight="1" x14ac:dyDescent="0.45">
      <c r="S835" s="5"/>
      <c r="T835" s="5"/>
      <c r="U835" s="5"/>
      <c r="V835" s="5"/>
      <c r="W835" s="45"/>
    </row>
    <row r="836" spans="19:23" ht="15.75" customHeight="1" x14ac:dyDescent="0.45">
      <c r="S836" s="5"/>
      <c r="T836" s="5"/>
      <c r="U836" s="5"/>
      <c r="V836" s="5"/>
      <c r="W836" s="45"/>
    </row>
    <row r="837" spans="19:23" ht="15.75" customHeight="1" x14ac:dyDescent="0.45">
      <c r="S837" s="5"/>
      <c r="T837" s="5"/>
      <c r="U837" s="5"/>
      <c r="V837" s="5"/>
      <c r="W837" s="45"/>
    </row>
    <row r="838" spans="19:23" ht="15.75" customHeight="1" x14ac:dyDescent="0.45">
      <c r="S838" s="5"/>
      <c r="T838" s="5"/>
      <c r="U838" s="5"/>
      <c r="V838" s="5"/>
      <c r="W838" s="45"/>
    </row>
    <row r="839" spans="19:23" ht="15.75" customHeight="1" x14ac:dyDescent="0.45">
      <c r="S839" s="5"/>
      <c r="T839" s="5"/>
      <c r="U839" s="5"/>
      <c r="V839" s="5"/>
      <c r="W839" s="45"/>
    </row>
    <row r="840" spans="19:23" ht="15.75" customHeight="1" x14ac:dyDescent="0.45">
      <c r="S840" s="5"/>
      <c r="T840" s="5"/>
      <c r="U840" s="5"/>
      <c r="V840" s="5"/>
      <c r="W840" s="45"/>
    </row>
    <row r="841" spans="19:23" ht="15.75" customHeight="1" x14ac:dyDescent="0.45">
      <c r="S841" s="5"/>
      <c r="T841" s="5"/>
      <c r="U841" s="5"/>
      <c r="V841" s="5"/>
      <c r="W841" s="45"/>
    </row>
    <row r="842" spans="19:23" ht="15.75" customHeight="1" x14ac:dyDescent="0.45">
      <c r="S842" s="5"/>
      <c r="T842" s="5"/>
      <c r="U842" s="5"/>
      <c r="V842" s="5"/>
      <c r="W842" s="45"/>
    </row>
    <row r="843" spans="19:23" ht="15.75" customHeight="1" x14ac:dyDescent="0.45">
      <c r="S843" s="5"/>
      <c r="T843" s="5"/>
      <c r="U843" s="5"/>
      <c r="V843" s="5"/>
      <c r="W843" s="45"/>
    </row>
    <row r="844" spans="19:23" ht="15.75" customHeight="1" x14ac:dyDescent="0.45">
      <c r="S844" s="5"/>
      <c r="T844" s="5"/>
      <c r="U844" s="5"/>
      <c r="V844" s="5"/>
      <c r="W844" s="45"/>
    </row>
    <row r="845" spans="19:23" ht="15.75" customHeight="1" x14ac:dyDescent="0.45">
      <c r="S845" s="5"/>
      <c r="T845" s="5"/>
      <c r="U845" s="5"/>
      <c r="V845" s="5"/>
      <c r="W845" s="45"/>
    </row>
    <row r="846" spans="19:23" ht="15.75" customHeight="1" x14ac:dyDescent="0.45">
      <c r="S846" s="5"/>
      <c r="T846" s="5"/>
      <c r="U846" s="5"/>
      <c r="V846" s="5"/>
      <c r="W846" s="45"/>
    </row>
    <row r="847" spans="19:23" ht="15.75" customHeight="1" x14ac:dyDescent="0.45">
      <c r="S847" s="5"/>
      <c r="T847" s="5"/>
      <c r="U847" s="5"/>
      <c r="V847" s="5"/>
      <c r="W847" s="45"/>
    </row>
    <row r="848" spans="19:23" ht="15.75" customHeight="1" x14ac:dyDescent="0.45">
      <c r="S848" s="5"/>
      <c r="T848" s="5"/>
      <c r="U848" s="5"/>
      <c r="V848" s="5"/>
      <c r="W848" s="45"/>
    </row>
    <row r="849" spans="19:23" ht="15.75" customHeight="1" x14ac:dyDescent="0.45">
      <c r="S849" s="5"/>
      <c r="T849" s="5"/>
      <c r="U849" s="5"/>
      <c r="V849" s="5"/>
      <c r="W849" s="45"/>
    </row>
    <row r="850" spans="19:23" ht="15.75" customHeight="1" x14ac:dyDescent="0.45">
      <c r="S850" s="5"/>
      <c r="T850" s="5"/>
      <c r="U850" s="5"/>
      <c r="V850" s="5"/>
      <c r="W850" s="45"/>
    </row>
    <row r="851" spans="19:23" ht="15.75" customHeight="1" x14ac:dyDescent="0.45">
      <c r="S851" s="5"/>
      <c r="T851" s="5"/>
      <c r="U851" s="5"/>
      <c r="V851" s="5"/>
      <c r="W851" s="45"/>
    </row>
    <row r="852" spans="19:23" ht="15.75" customHeight="1" x14ac:dyDescent="0.45">
      <c r="S852" s="5"/>
      <c r="T852" s="5"/>
      <c r="U852" s="5"/>
      <c r="V852" s="5"/>
      <c r="W852" s="45"/>
    </row>
    <row r="853" spans="19:23" ht="15.75" customHeight="1" x14ac:dyDescent="0.45">
      <c r="S853" s="5"/>
      <c r="T853" s="5"/>
      <c r="U853" s="5"/>
      <c r="V853" s="5"/>
      <c r="W853" s="45"/>
    </row>
    <row r="854" spans="19:23" ht="15.75" customHeight="1" x14ac:dyDescent="0.45">
      <c r="S854" s="5"/>
      <c r="T854" s="5"/>
      <c r="U854" s="5"/>
      <c r="V854" s="5"/>
      <c r="W854" s="45"/>
    </row>
    <row r="855" spans="19:23" ht="15.75" customHeight="1" x14ac:dyDescent="0.45">
      <c r="S855" s="5"/>
      <c r="T855" s="5"/>
      <c r="U855" s="5"/>
      <c r="V855" s="5"/>
      <c r="W855" s="45"/>
    </row>
    <row r="856" spans="19:23" ht="15.75" customHeight="1" x14ac:dyDescent="0.45">
      <c r="S856" s="5"/>
      <c r="T856" s="5"/>
      <c r="U856" s="5"/>
      <c r="V856" s="5"/>
      <c r="W856" s="45"/>
    </row>
    <row r="857" spans="19:23" ht="15.75" customHeight="1" x14ac:dyDescent="0.45">
      <c r="S857" s="5"/>
      <c r="T857" s="5"/>
      <c r="U857" s="5"/>
      <c r="V857" s="5"/>
      <c r="W857" s="45"/>
    </row>
    <row r="858" spans="19:23" ht="15.75" customHeight="1" x14ac:dyDescent="0.45">
      <c r="S858" s="5"/>
      <c r="T858" s="5"/>
      <c r="U858" s="5"/>
      <c r="V858" s="5"/>
      <c r="W858" s="45"/>
    </row>
    <row r="859" spans="19:23" ht="15.75" customHeight="1" x14ac:dyDescent="0.45">
      <c r="S859" s="5"/>
      <c r="T859" s="5"/>
      <c r="U859" s="5"/>
      <c r="V859" s="5"/>
      <c r="W859" s="45"/>
    </row>
    <row r="860" spans="19:23" ht="15.75" customHeight="1" x14ac:dyDescent="0.45">
      <c r="S860" s="5"/>
      <c r="T860" s="5"/>
      <c r="U860" s="5"/>
      <c r="V860" s="5"/>
      <c r="W860" s="45"/>
    </row>
    <row r="861" spans="19:23" ht="15.75" customHeight="1" x14ac:dyDescent="0.45">
      <c r="S861" s="5"/>
      <c r="T861" s="5"/>
      <c r="U861" s="5"/>
      <c r="V861" s="5"/>
      <c r="W861" s="45"/>
    </row>
    <row r="862" spans="19:23" ht="15.75" customHeight="1" x14ac:dyDescent="0.45">
      <c r="S862" s="5"/>
      <c r="T862" s="5"/>
      <c r="U862" s="5"/>
      <c r="V862" s="5"/>
      <c r="W862" s="45"/>
    </row>
    <row r="863" spans="19:23" ht="15.75" customHeight="1" x14ac:dyDescent="0.45">
      <c r="S863" s="5"/>
      <c r="T863" s="5"/>
      <c r="U863" s="5"/>
      <c r="V863" s="5"/>
      <c r="W863" s="45"/>
    </row>
    <row r="864" spans="19:23" ht="15.75" customHeight="1" x14ac:dyDescent="0.45">
      <c r="S864" s="5"/>
      <c r="T864" s="5"/>
      <c r="U864" s="5"/>
      <c r="V864" s="5"/>
      <c r="W864" s="45"/>
    </row>
    <row r="865" spans="19:23" ht="15.75" customHeight="1" x14ac:dyDescent="0.45">
      <c r="S865" s="5"/>
      <c r="T865" s="5"/>
      <c r="U865" s="5"/>
      <c r="V865" s="5"/>
      <c r="W865" s="45"/>
    </row>
    <row r="866" spans="19:23" ht="15.75" customHeight="1" x14ac:dyDescent="0.45">
      <c r="S866" s="5"/>
      <c r="T866" s="5"/>
      <c r="U866" s="5"/>
      <c r="V866" s="5"/>
      <c r="W866" s="45"/>
    </row>
    <row r="867" spans="19:23" ht="15.75" customHeight="1" x14ac:dyDescent="0.45">
      <c r="S867" s="5"/>
      <c r="T867" s="5"/>
      <c r="U867" s="5"/>
      <c r="V867" s="5"/>
      <c r="W867" s="45"/>
    </row>
    <row r="868" spans="19:23" ht="15.75" customHeight="1" x14ac:dyDescent="0.45">
      <c r="S868" s="5"/>
      <c r="T868" s="5"/>
      <c r="U868" s="5"/>
      <c r="V868" s="5"/>
      <c r="W868" s="45"/>
    </row>
    <row r="869" spans="19:23" ht="15.75" customHeight="1" x14ac:dyDescent="0.45">
      <c r="S869" s="5"/>
      <c r="T869" s="5"/>
      <c r="U869" s="5"/>
      <c r="V869" s="5"/>
      <c r="W869" s="45"/>
    </row>
    <row r="870" spans="19:23" ht="15.75" customHeight="1" x14ac:dyDescent="0.45">
      <c r="S870" s="5"/>
      <c r="T870" s="5"/>
      <c r="U870" s="5"/>
      <c r="V870" s="5"/>
      <c r="W870" s="45"/>
    </row>
    <row r="871" spans="19:23" ht="15.75" customHeight="1" x14ac:dyDescent="0.45">
      <c r="S871" s="5"/>
      <c r="T871" s="5"/>
      <c r="U871" s="5"/>
      <c r="V871" s="5"/>
      <c r="W871" s="45"/>
    </row>
    <row r="872" spans="19:23" ht="15.75" customHeight="1" x14ac:dyDescent="0.45">
      <c r="S872" s="5"/>
      <c r="T872" s="5"/>
      <c r="U872" s="5"/>
      <c r="V872" s="5"/>
      <c r="W872" s="45"/>
    </row>
    <row r="873" spans="19:23" ht="15.75" customHeight="1" x14ac:dyDescent="0.45">
      <c r="S873" s="5"/>
      <c r="T873" s="5"/>
      <c r="U873" s="5"/>
      <c r="V873" s="5"/>
      <c r="W873" s="45"/>
    </row>
    <row r="874" spans="19:23" ht="15.75" customHeight="1" x14ac:dyDescent="0.45">
      <c r="S874" s="5"/>
      <c r="T874" s="5"/>
      <c r="U874" s="5"/>
      <c r="V874" s="5"/>
      <c r="W874" s="45"/>
    </row>
    <row r="875" spans="19:23" ht="15.75" customHeight="1" x14ac:dyDescent="0.45">
      <c r="S875" s="5"/>
      <c r="T875" s="5"/>
      <c r="U875" s="5"/>
      <c r="V875" s="5"/>
      <c r="W875" s="45"/>
    </row>
    <row r="876" spans="19:23" ht="15.75" customHeight="1" x14ac:dyDescent="0.45">
      <c r="S876" s="5"/>
      <c r="T876" s="5"/>
      <c r="U876" s="5"/>
      <c r="V876" s="5"/>
      <c r="W876" s="45"/>
    </row>
    <row r="877" spans="19:23" ht="15.75" customHeight="1" x14ac:dyDescent="0.45">
      <c r="S877" s="5"/>
      <c r="T877" s="5"/>
      <c r="U877" s="5"/>
      <c r="V877" s="5"/>
      <c r="W877" s="45"/>
    </row>
    <row r="878" spans="19:23" ht="15.75" customHeight="1" x14ac:dyDescent="0.45">
      <c r="S878" s="5"/>
      <c r="T878" s="5"/>
      <c r="U878" s="5"/>
      <c r="V878" s="5"/>
      <c r="W878" s="45"/>
    </row>
    <row r="879" spans="19:23" ht="15.75" customHeight="1" x14ac:dyDescent="0.45">
      <c r="S879" s="5"/>
      <c r="T879" s="5"/>
      <c r="U879" s="5"/>
      <c r="V879" s="5"/>
      <c r="W879" s="45"/>
    </row>
    <row r="880" spans="19:23" ht="15.75" customHeight="1" x14ac:dyDescent="0.45">
      <c r="S880" s="5"/>
      <c r="T880" s="5"/>
      <c r="U880" s="5"/>
      <c r="V880" s="5"/>
      <c r="W880" s="45"/>
    </row>
    <row r="881" spans="19:23" ht="15.75" customHeight="1" x14ac:dyDescent="0.45">
      <c r="S881" s="5"/>
      <c r="T881" s="5"/>
      <c r="U881" s="5"/>
      <c r="V881" s="5"/>
      <c r="W881" s="45"/>
    </row>
    <row r="882" spans="19:23" ht="15.75" customHeight="1" x14ac:dyDescent="0.45">
      <c r="S882" s="5"/>
      <c r="T882" s="5"/>
      <c r="U882" s="5"/>
      <c r="V882" s="5"/>
      <c r="W882" s="45"/>
    </row>
    <row r="883" spans="19:23" ht="15.75" customHeight="1" x14ac:dyDescent="0.45">
      <c r="S883" s="5"/>
      <c r="T883" s="5"/>
      <c r="U883" s="5"/>
      <c r="V883" s="5"/>
      <c r="W883" s="45"/>
    </row>
    <row r="884" spans="19:23" ht="15.75" customHeight="1" x14ac:dyDescent="0.45">
      <c r="S884" s="5"/>
      <c r="T884" s="5"/>
      <c r="U884" s="5"/>
      <c r="V884" s="5"/>
      <c r="W884" s="45"/>
    </row>
    <row r="885" spans="19:23" ht="15.75" customHeight="1" x14ac:dyDescent="0.45">
      <c r="S885" s="5"/>
      <c r="T885" s="5"/>
      <c r="U885" s="5"/>
      <c r="V885" s="5"/>
      <c r="W885" s="45"/>
    </row>
    <row r="886" spans="19:23" ht="15.75" customHeight="1" x14ac:dyDescent="0.45">
      <c r="S886" s="5"/>
      <c r="T886" s="5"/>
      <c r="U886" s="5"/>
      <c r="V886" s="5"/>
      <c r="W886" s="45"/>
    </row>
    <row r="887" spans="19:23" ht="15.75" customHeight="1" x14ac:dyDescent="0.45">
      <c r="S887" s="5"/>
      <c r="T887" s="5"/>
      <c r="U887" s="5"/>
      <c r="V887" s="5"/>
      <c r="W887" s="45"/>
    </row>
    <row r="888" spans="19:23" ht="15.75" customHeight="1" x14ac:dyDescent="0.45">
      <c r="S888" s="5"/>
      <c r="T888" s="5"/>
      <c r="U888" s="5"/>
      <c r="V888" s="5"/>
      <c r="W888" s="45"/>
    </row>
    <row r="889" spans="19:23" ht="15.75" customHeight="1" x14ac:dyDescent="0.45">
      <c r="S889" s="5"/>
      <c r="T889" s="5"/>
      <c r="U889" s="5"/>
      <c r="V889" s="5"/>
      <c r="W889" s="45"/>
    </row>
    <row r="890" spans="19:23" ht="15.75" customHeight="1" x14ac:dyDescent="0.45">
      <c r="S890" s="5"/>
      <c r="T890" s="5"/>
      <c r="U890" s="5"/>
      <c r="V890" s="5"/>
      <c r="W890" s="45"/>
    </row>
    <row r="891" spans="19:23" ht="15.75" customHeight="1" x14ac:dyDescent="0.45">
      <c r="S891" s="5"/>
      <c r="T891" s="5"/>
      <c r="U891" s="5"/>
      <c r="V891" s="5"/>
      <c r="W891" s="45"/>
    </row>
    <row r="892" spans="19:23" ht="15.75" customHeight="1" x14ac:dyDescent="0.45">
      <c r="S892" s="5"/>
      <c r="T892" s="5"/>
      <c r="U892" s="5"/>
      <c r="V892" s="5"/>
      <c r="W892" s="45"/>
    </row>
    <row r="893" spans="19:23" ht="15.75" customHeight="1" x14ac:dyDescent="0.45">
      <c r="S893" s="5"/>
      <c r="T893" s="5"/>
      <c r="U893" s="5"/>
      <c r="V893" s="5"/>
      <c r="W893" s="45"/>
    </row>
    <row r="894" spans="19:23" ht="15.75" customHeight="1" x14ac:dyDescent="0.45">
      <c r="S894" s="5"/>
      <c r="T894" s="5"/>
      <c r="U894" s="5"/>
      <c r="V894" s="5"/>
      <c r="W894" s="45"/>
    </row>
    <row r="895" spans="19:23" ht="15.75" customHeight="1" x14ac:dyDescent="0.45">
      <c r="S895" s="5"/>
      <c r="T895" s="5"/>
      <c r="U895" s="5"/>
      <c r="V895" s="5"/>
      <c r="W895" s="45"/>
    </row>
    <row r="896" spans="19:23" ht="15.75" customHeight="1" x14ac:dyDescent="0.45">
      <c r="S896" s="5"/>
      <c r="T896" s="5"/>
      <c r="U896" s="5"/>
      <c r="V896" s="5"/>
      <c r="W896" s="45"/>
    </row>
    <row r="897" spans="19:23" ht="15.75" customHeight="1" x14ac:dyDescent="0.45">
      <c r="S897" s="5"/>
      <c r="T897" s="5"/>
      <c r="U897" s="5"/>
      <c r="V897" s="5"/>
      <c r="W897" s="45"/>
    </row>
    <row r="898" spans="19:23" ht="15.75" customHeight="1" x14ac:dyDescent="0.45">
      <c r="S898" s="5"/>
      <c r="T898" s="5"/>
      <c r="U898" s="5"/>
      <c r="V898" s="5"/>
      <c r="W898" s="45"/>
    </row>
    <row r="899" spans="19:23" ht="15.75" customHeight="1" x14ac:dyDescent="0.45">
      <c r="S899" s="5"/>
      <c r="T899" s="5"/>
      <c r="U899" s="5"/>
      <c r="V899" s="5"/>
      <c r="W899" s="45"/>
    </row>
    <row r="900" spans="19:23" ht="15.75" customHeight="1" x14ac:dyDescent="0.45">
      <c r="S900" s="5"/>
      <c r="T900" s="5"/>
      <c r="U900" s="5"/>
      <c r="V900" s="5"/>
      <c r="W900" s="45"/>
    </row>
    <row r="901" spans="19:23" ht="15.75" customHeight="1" x14ac:dyDescent="0.45">
      <c r="S901" s="5"/>
      <c r="T901" s="5"/>
      <c r="U901" s="5"/>
      <c r="V901" s="5"/>
      <c r="W901" s="45"/>
    </row>
    <row r="902" spans="19:23" ht="15.75" customHeight="1" x14ac:dyDescent="0.45">
      <c r="S902" s="5"/>
      <c r="T902" s="5"/>
      <c r="U902" s="5"/>
      <c r="V902" s="5"/>
      <c r="W902" s="45"/>
    </row>
    <row r="903" spans="19:23" ht="15.75" customHeight="1" x14ac:dyDescent="0.45">
      <c r="S903" s="5"/>
      <c r="T903" s="5"/>
      <c r="U903" s="5"/>
      <c r="V903" s="5"/>
      <c r="W903" s="45"/>
    </row>
    <row r="904" spans="19:23" ht="15.75" customHeight="1" x14ac:dyDescent="0.45">
      <c r="S904" s="5"/>
      <c r="T904" s="5"/>
      <c r="U904" s="5"/>
      <c r="V904" s="5"/>
      <c r="W904" s="45"/>
    </row>
    <row r="905" spans="19:23" ht="15.75" customHeight="1" x14ac:dyDescent="0.45">
      <c r="S905" s="5"/>
      <c r="T905" s="5"/>
      <c r="U905" s="5"/>
      <c r="V905" s="5"/>
      <c r="W905" s="45"/>
    </row>
    <row r="906" spans="19:23" ht="15.75" customHeight="1" x14ac:dyDescent="0.45">
      <c r="S906" s="5"/>
      <c r="T906" s="5"/>
      <c r="U906" s="5"/>
      <c r="V906" s="5"/>
      <c r="W906" s="45"/>
    </row>
    <row r="907" spans="19:23" ht="15.75" customHeight="1" x14ac:dyDescent="0.45">
      <c r="S907" s="5"/>
      <c r="T907" s="5"/>
      <c r="U907" s="5"/>
      <c r="V907" s="5"/>
      <c r="W907" s="45"/>
    </row>
    <row r="908" spans="19:23" ht="15.75" customHeight="1" x14ac:dyDescent="0.45">
      <c r="S908" s="5"/>
      <c r="T908" s="5"/>
      <c r="U908" s="5"/>
      <c r="V908" s="5"/>
      <c r="W908" s="45"/>
    </row>
    <row r="909" spans="19:23" ht="15.75" customHeight="1" x14ac:dyDescent="0.45">
      <c r="S909" s="5"/>
      <c r="T909" s="5"/>
      <c r="U909" s="5"/>
      <c r="V909" s="5"/>
      <c r="W909" s="45"/>
    </row>
    <row r="910" spans="19:23" ht="15.75" customHeight="1" x14ac:dyDescent="0.45">
      <c r="S910" s="5"/>
      <c r="T910" s="5"/>
      <c r="U910" s="5"/>
      <c r="V910" s="5"/>
      <c r="W910" s="45"/>
    </row>
    <row r="911" spans="19:23" ht="15.75" customHeight="1" x14ac:dyDescent="0.45">
      <c r="S911" s="5"/>
      <c r="T911" s="5"/>
      <c r="U911" s="5"/>
      <c r="V911" s="5"/>
      <c r="W911" s="45"/>
    </row>
    <row r="912" spans="19:23" ht="15.75" customHeight="1" x14ac:dyDescent="0.45">
      <c r="S912" s="5"/>
      <c r="T912" s="5"/>
      <c r="U912" s="5"/>
      <c r="V912" s="5"/>
      <c r="W912" s="45"/>
    </row>
    <row r="913" spans="19:23" ht="15.75" customHeight="1" x14ac:dyDescent="0.45">
      <c r="S913" s="5"/>
      <c r="T913" s="5"/>
      <c r="U913" s="5"/>
      <c r="V913" s="5"/>
      <c r="W913" s="45"/>
    </row>
    <row r="914" spans="19:23" ht="15.75" customHeight="1" x14ac:dyDescent="0.45">
      <c r="S914" s="5"/>
      <c r="T914" s="5"/>
      <c r="U914" s="5"/>
      <c r="V914" s="5"/>
      <c r="W914" s="45"/>
    </row>
    <row r="915" spans="19:23" ht="15.75" customHeight="1" x14ac:dyDescent="0.45">
      <c r="S915" s="5"/>
      <c r="T915" s="5"/>
      <c r="U915" s="5"/>
      <c r="V915" s="5"/>
      <c r="W915" s="45"/>
    </row>
    <row r="916" spans="19:23" ht="15.75" customHeight="1" x14ac:dyDescent="0.45">
      <c r="S916" s="5"/>
      <c r="T916" s="5"/>
      <c r="U916" s="5"/>
      <c r="V916" s="5"/>
      <c r="W916" s="45"/>
    </row>
    <row r="917" spans="19:23" ht="15.75" customHeight="1" x14ac:dyDescent="0.45">
      <c r="S917" s="5"/>
      <c r="T917" s="5"/>
      <c r="U917" s="5"/>
      <c r="V917" s="5"/>
      <c r="W917" s="45"/>
    </row>
    <row r="918" spans="19:23" ht="15.75" customHeight="1" x14ac:dyDescent="0.45">
      <c r="S918" s="5"/>
      <c r="T918" s="5"/>
      <c r="U918" s="5"/>
      <c r="V918" s="5"/>
      <c r="W918" s="45"/>
    </row>
    <row r="919" spans="19:23" ht="15.75" customHeight="1" x14ac:dyDescent="0.45">
      <c r="S919" s="5"/>
      <c r="T919" s="5"/>
      <c r="U919" s="5"/>
      <c r="V919" s="5"/>
      <c r="W919" s="45"/>
    </row>
    <row r="920" spans="19:23" ht="15.75" customHeight="1" x14ac:dyDescent="0.45">
      <c r="S920" s="5"/>
      <c r="T920" s="5"/>
      <c r="U920" s="5"/>
      <c r="V920" s="5"/>
      <c r="W920" s="45"/>
    </row>
    <row r="921" spans="19:23" ht="15.75" customHeight="1" x14ac:dyDescent="0.45">
      <c r="S921" s="5"/>
      <c r="T921" s="5"/>
      <c r="U921" s="5"/>
      <c r="V921" s="5"/>
      <c r="W921" s="45"/>
    </row>
    <row r="922" spans="19:23" ht="15.75" customHeight="1" x14ac:dyDescent="0.45">
      <c r="S922" s="5"/>
      <c r="T922" s="5"/>
      <c r="U922" s="5"/>
      <c r="V922" s="5"/>
      <c r="W922" s="45"/>
    </row>
    <row r="923" spans="19:23" ht="15.75" customHeight="1" x14ac:dyDescent="0.45">
      <c r="S923" s="5"/>
      <c r="T923" s="5"/>
      <c r="U923" s="5"/>
      <c r="V923" s="5"/>
      <c r="W923" s="45"/>
    </row>
    <row r="924" spans="19:23" ht="15.75" customHeight="1" x14ac:dyDescent="0.45">
      <c r="S924" s="5"/>
      <c r="T924" s="5"/>
      <c r="U924" s="5"/>
      <c r="V924" s="5"/>
      <c r="W924" s="45"/>
    </row>
    <row r="925" spans="19:23" ht="15.75" customHeight="1" x14ac:dyDescent="0.45">
      <c r="S925" s="5"/>
      <c r="T925" s="5"/>
      <c r="U925" s="5"/>
      <c r="V925" s="5"/>
      <c r="W925" s="45"/>
    </row>
    <row r="926" spans="19:23" ht="15.75" customHeight="1" x14ac:dyDescent="0.45">
      <c r="S926" s="5"/>
      <c r="T926" s="5"/>
      <c r="U926" s="5"/>
      <c r="V926" s="5"/>
      <c r="W926" s="45"/>
    </row>
    <row r="927" spans="19:23" ht="15.75" customHeight="1" x14ac:dyDescent="0.45">
      <c r="S927" s="5"/>
      <c r="T927" s="5"/>
      <c r="U927" s="5"/>
      <c r="V927" s="5"/>
      <c r="W927" s="45"/>
    </row>
    <row r="928" spans="19:23" ht="15.75" customHeight="1" x14ac:dyDescent="0.45">
      <c r="S928" s="5"/>
      <c r="T928" s="5"/>
      <c r="U928" s="5"/>
      <c r="V928" s="5"/>
      <c r="W928" s="45"/>
    </row>
    <row r="929" spans="19:23" ht="15.75" customHeight="1" x14ac:dyDescent="0.45">
      <c r="S929" s="5"/>
      <c r="T929" s="5"/>
      <c r="U929" s="5"/>
      <c r="V929" s="5"/>
      <c r="W929" s="45"/>
    </row>
    <row r="930" spans="19:23" ht="15.75" customHeight="1" x14ac:dyDescent="0.45">
      <c r="S930" s="5"/>
      <c r="T930" s="5"/>
      <c r="U930" s="5"/>
      <c r="V930" s="5"/>
      <c r="W930" s="45"/>
    </row>
    <row r="931" spans="19:23" ht="15.75" customHeight="1" x14ac:dyDescent="0.45">
      <c r="S931" s="5"/>
      <c r="T931" s="5"/>
      <c r="U931" s="5"/>
      <c r="V931" s="5"/>
      <c r="W931" s="45"/>
    </row>
    <row r="932" spans="19:23" ht="15.75" customHeight="1" x14ac:dyDescent="0.45">
      <c r="S932" s="5"/>
      <c r="T932" s="5"/>
      <c r="U932" s="5"/>
      <c r="V932" s="5"/>
      <c r="W932" s="45"/>
    </row>
    <row r="933" spans="19:23" ht="15.75" customHeight="1" x14ac:dyDescent="0.45">
      <c r="S933" s="5"/>
      <c r="T933" s="5"/>
      <c r="U933" s="5"/>
      <c r="V933" s="5"/>
      <c r="W933" s="45"/>
    </row>
    <row r="934" spans="19:23" ht="15.75" customHeight="1" x14ac:dyDescent="0.45">
      <c r="S934" s="5"/>
      <c r="T934" s="5"/>
      <c r="U934" s="5"/>
      <c r="V934" s="5"/>
      <c r="W934" s="45"/>
    </row>
    <row r="935" spans="19:23" ht="15.75" customHeight="1" x14ac:dyDescent="0.45">
      <c r="S935" s="5"/>
      <c r="T935" s="5"/>
      <c r="U935" s="5"/>
      <c r="V935" s="5"/>
      <c r="W935" s="45"/>
    </row>
    <row r="936" spans="19:23" ht="15.75" customHeight="1" x14ac:dyDescent="0.45">
      <c r="S936" s="5"/>
      <c r="T936" s="5"/>
      <c r="U936" s="5"/>
      <c r="V936" s="5"/>
      <c r="W936" s="45"/>
    </row>
    <row r="937" spans="19:23" ht="15.75" customHeight="1" x14ac:dyDescent="0.45">
      <c r="S937" s="5"/>
      <c r="T937" s="5"/>
      <c r="U937" s="5"/>
      <c r="V937" s="5"/>
      <c r="W937" s="45"/>
    </row>
    <row r="938" spans="19:23" ht="15.75" customHeight="1" x14ac:dyDescent="0.45">
      <c r="S938" s="5"/>
      <c r="T938" s="5"/>
      <c r="U938" s="5"/>
      <c r="V938" s="5"/>
      <c r="W938" s="45"/>
    </row>
    <row r="939" spans="19:23" ht="15.75" customHeight="1" x14ac:dyDescent="0.45">
      <c r="S939" s="5"/>
      <c r="T939" s="5"/>
      <c r="U939" s="5"/>
      <c r="V939" s="5"/>
      <c r="W939" s="45"/>
    </row>
    <row r="940" spans="19:23" ht="15.75" customHeight="1" x14ac:dyDescent="0.45">
      <c r="S940" s="5"/>
      <c r="T940" s="5"/>
      <c r="U940" s="5"/>
      <c r="V940" s="5"/>
      <c r="W940" s="45"/>
    </row>
    <row r="941" spans="19:23" ht="15.75" customHeight="1" x14ac:dyDescent="0.45">
      <c r="S941" s="5"/>
      <c r="T941" s="5"/>
      <c r="U941" s="5"/>
      <c r="V941" s="5"/>
      <c r="W941" s="45"/>
    </row>
    <row r="942" spans="19:23" ht="15.75" customHeight="1" x14ac:dyDescent="0.45">
      <c r="S942" s="5"/>
      <c r="T942" s="5"/>
      <c r="U942" s="5"/>
      <c r="V942" s="5"/>
      <c r="W942" s="45"/>
    </row>
    <row r="943" spans="19:23" ht="15.75" customHeight="1" x14ac:dyDescent="0.45">
      <c r="S943" s="5"/>
      <c r="T943" s="5"/>
      <c r="U943" s="5"/>
      <c r="V943" s="5"/>
      <c r="W943" s="45"/>
    </row>
    <row r="944" spans="19:23" ht="15.75" customHeight="1" x14ac:dyDescent="0.45">
      <c r="S944" s="5"/>
      <c r="T944" s="5"/>
      <c r="U944" s="5"/>
      <c r="V944" s="5"/>
      <c r="W944" s="45"/>
    </row>
    <row r="945" spans="19:23" ht="15.75" customHeight="1" x14ac:dyDescent="0.45">
      <c r="S945" s="5"/>
      <c r="T945" s="5"/>
      <c r="U945" s="5"/>
      <c r="V945" s="5"/>
      <c r="W945" s="45"/>
    </row>
    <row r="946" spans="19:23" ht="15.75" customHeight="1" x14ac:dyDescent="0.45">
      <c r="S946" s="5"/>
      <c r="T946" s="5"/>
      <c r="U946" s="5"/>
      <c r="V946" s="5"/>
      <c r="W946" s="45"/>
    </row>
    <row r="947" spans="19:23" ht="15.75" customHeight="1" x14ac:dyDescent="0.45">
      <c r="S947" s="5"/>
      <c r="T947" s="5"/>
      <c r="U947" s="5"/>
      <c r="V947" s="5"/>
      <c r="W947" s="45"/>
    </row>
    <row r="948" spans="19:23" ht="15.75" customHeight="1" x14ac:dyDescent="0.45">
      <c r="S948" s="5"/>
      <c r="T948" s="5"/>
      <c r="U948" s="5"/>
      <c r="V948" s="5"/>
      <c r="W948" s="45"/>
    </row>
    <row r="949" spans="19:23" ht="15.75" customHeight="1" x14ac:dyDescent="0.45">
      <c r="S949" s="5"/>
      <c r="T949" s="5"/>
      <c r="U949" s="5"/>
      <c r="V949" s="5"/>
      <c r="W949" s="45"/>
    </row>
    <row r="950" spans="19:23" ht="15.75" customHeight="1" x14ac:dyDescent="0.45">
      <c r="S950" s="5"/>
      <c r="T950" s="5"/>
      <c r="U950" s="5"/>
      <c r="V950" s="5"/>
      <c r="W950" s="45"/>
    </row>
    <row r="951" spans="19:23" ht="15.75" customHeight="1" x14ac:dyDescent="0.45">
      <c r="S951" s="5"/>
      <c r="T951" s="5"/>
      <c r="U951" s="5"/>
      <c r="V951" s="5"/>
      <c r="W951" s="45"/>
    </row>
    <row r="952" spans="19:23" ht="15.75" customHeight="1" x14ac:dyDescent="0.45">
      <c r="S952" s="5"/>
      <c r="T952" s="5"/>
      <c r="U952" s="5"/>
      <c r="V952" s="5"/>
      <c r="W952" s="45"/>
    </row>
    <row r="953" spans="19:23" ht="15.75" customHeight="1" x14ac:dyDescent="0.45">
      <c r="S953" s="5"/>
      <c r="T953" s="5"/>
      <c r="U953" s="5"/>
      <c r="V953" s="5"/>
      <c r="W953" s="45"/>
    </row>
    <row r="954" spans="19:23" ht="15.75" customHeight="1" x14ac:dyDescent="0.45">
      <c r="S954" s="5"/>
      <c r="T954" s="5"/>
      <c r="U954" s="5"/>
      <c r="V954" s="5"/>
      <c r="W954" s="45"/>
    </row>
    <row r="955" spans="19:23" ht="15.75" customHeight="1" x14ac:dyDescent="0.45">
      <c r="S955" s="5"/>
      <c r="T955" s="5"/>
      <c r="U955" s="5"/>
      <c r="V955" s="5"/>
      <c r="W955" s="45"/>
    </row>
    <row r="956" spans="19:23" ht="15.75" customHeight="1" x14ac:dyDescent="0.45">
      <c r="S956" s="5"/>
      <c r="T956" s="5"/>
      <c r="U956" s="5"/>
      <c r="V956" s="5"/>
      <c r="W956" s="45"/>
    </row>
    <row r="957" spans="19:23" ht="15.75" customHeight="1" x14ac:dyDescent="0.45">
      <c r="S957" s="5"/>
      <c r="T957" s="5"/>
      <c r="U957" s="5"/>
      <c r="V957" s="5"/>
      <c r="W957" s="45"/>
    </row>
    <row r="958" spans="19:23" ht="15.75" customHeight="1" x14ac:dyDescent="0.45">
      <c r="S958" s="5"/>
      <c r="T958" s="5"/>
      <c r="U958" s="5"/>
      <c r="V958" s="5"/>
      <c r="W958" s="45"/>
    </row>
    <row r="959" spans="19:23" ht="15.75" customHeight="1" x14ac:dyDescent="0.45">
      <c r="S959" s="5"/>
      <c r="T959" s="5"/>
      <c r="U959" s="5"/>
      <c r="V959" s="5"/>
      <c r="W959" s="45"/>
    </row>
    <row r="960" spans="19:23" ht="15.75" customHeight="1" x14ac:dyDescent="0.45">
      <c r="S960" s="5"/>
      <c r="T960" s="5"/>
      <c r="U960" s="5"/>
      <c r="V960" s="5"/>
      <c r="W960" s="45"/>
    </row>
    <row r="961" spans="19:23" ht="15.75" customHeight="1" x14ac:dyDescent="0.45">
      <c r="S961" s="5"/>
      <c r="T961" s="5"/>
      <c r="U961" s="5"/>
      <c r="V961" s="5"/>
      <c r="W961" s="45"/>
    </row>
    <row r="962" spans="19:23" ht="15.75" customHeight="1" x14ac:dyDescent="0.45">
      <c r="S962" s="5"/>
      <c r="T962" s="5"/>
      <c r="U962" s="5"/>
      <c r="V962" s="5"/>
      <c r="W962" s="45"/>
    </row>
    <row r="963" spans="19:23" ht="15.75" customHeight="1" x14ac:dyDescent="0.45">
      <c r="S963" s="5"/>
      <c r="T963" s="5"/>
      <c r="U963" s="5"/>
      <c r="V963" s="5"/>
      <c r="W963" s="45"/>
    </row>
    <row r="964" spans="19:23" ht="15.75" customHeight="1" x14ac:dyDescent="0.45">
      <c r="S964" s="5"/>
      <c r="T964" s="5"/>
      <c r="U964" s="5"/>
      <c r="V964" s="5"/>
      <c r="W964" s="45"/>
    </row>
    <row r="965" spans="19:23" ht="15.75" customHeight="1" x14ac:dyDescent="0.45">
      <c r="S965" s="5"/>
      <c r="T965" s="5"/>
      <c r="U965" s="5"/>
      <c r="V965" s="5"/>
      <c r="W965" s="45"/>
    </row>
    <row r="966" spans="19:23" ht="15.75" customHeight="1" x14ac:dyDescent="0.45">
      <c r="S966" s="5"/>
      <c r="T966" s="5"/>
      <c r="U966" s="5"/>
      <c r="V966" s="5"/>
      <c r="W966" s="45"/>
    </row>
    <row r="967" spans="19:23" ht="15.75" customHeight="1" x14ac:dyDescent="0.45">
      <c r="S967" s="5"/>
      <c r="T967" s="5"/>
      <c r="U967" s="5"/>
      <c r="V967" s="5"/>
      <c r="W967" s="45"/>
    </row>
    <row r="968" spans="19:23" ht="15.75" customHeight="1" x14ac:dyDescent="0.45">
      <c r="S968" s="5"/>
      <c r="T968" s="5"/>
      <c r="U968" s="5"/>
      <c r="V968" s="5"/>
      <c r="W968" s="45"/>
    </row>
    <row r="969" spans="19:23" ht="15.75" customHeight="1" x14ac:dyDescent="0.45">
      <c r="S969" s="5"/>
      <c r="T969" s="5"/>
      <c r="U969" s="5"/>
      <c r="V969" s="5"/>
      <c r="W969" s="45"/>
    </row>
    <row r="970" spans="19:23" ht="15.75" customHeight="1" x14ac:dyDescent="0.45">
      <c r="S970" s="5"/>
      <c r="T970" s="5"/>
      <c r="U970" s="5"/>
      <c r="V970" s="5"/>
      <c r="W970" s="45"/>
    </row>
    <row r="971" spans="19:23" ht="15.75" customHeight="1" x14ac:dyDescent="0.45">
      <c r="S971" s="5"/>
      <c r="T971" s="5"/>
      <c r="U971" s="5"/>
      <c r="V971" s="5"/>
      <c r="W971" s="45"/>
    </row>
    <row r="972" spans="19:23" ht="15.75" customHeight="1" x14ac:dyDescent="0.45">
      <c r="S972" s="5"/>
      <c r="T972" s="5"/>
      <c r="U972" s="5"/>
      <c r="V972" s="5"/>
      <c r="W972" s="45"/>
    </row>
    <row r="973" spans="19:23" ht="15.75" customHeight="1" x14ac:dyDescent="0.45">
      <c r="S973" s="5"/>
      <c r="T973" s="5"/>
      <c r="U973" s="5"/>
      <c r="V973" s="5"/>
      <c r="W973" s="45"/>
    </row>
    <row r="974" spans="19:23" ht="15.75" customHeight="1" x14ac:dyDescent="0.45">
      <c r="S974" s="5"/>
      <c r="T974" s="5"/>
      <c r="U974" s="5"/>
      <c r="V974" s="5"/>
      <c r="W974" s="45"/>
    </row>
    <row r="975" spans="19:23" ht="15.75" customHeight="1" x14ac:dyDescent="0.45">
      <c r="S975" s="5"/>
      <c r="T975" s="5"/>
      <c r="U975" s="5"/>
      <c r="V975" s="5"/>
      <c r="W975" s="45"/>
    </row>
    <row r="976" spans="19:23" ht="15.75" customHeight="1" x14ac:dyDescent="0.45">
      <c r="S976" s="5"/>
      <c r="T976" s="5"/>
      <c r="U976" s="5"/>
      <c r="V976" s="5"/>
      <c r="W976" s="45"/>
    </row>
    <row r="977" spans="19:23" ht="15.75" customHeight="1" x14ac:dyDescent="0.45">
      <c r="S977" s="5"/>
      <c r="T977" s="5"/>
      <c r="U977" s="5"/>
      <c r="V977" s="5"/>
      <c r="W977" s="45"/>
    </row>
    <row r="978" spans="19:23" ht="15.75" customHeight="1" x14ac:dyDescent="0.45">
      <c r="S978" s="5"/>
      <c r="T978" s="5"/>
      <c r="U978" s="5"/>
      <c r="V978" s="5"/>
      <c r="W978" s="45"/>
    </row>
    <row r="979" spans="19:23" ht="15.75" customHeight="1" x14ac:dyDescent="0.45">
      <c r="S979" s="5"/>
      <c r="T979" s="5"/>
      <c r="U979" s="5"/>
      <c r="V979" s="5"/>
      <c r="W979" s="45"/>
    </row>
    <row r="980" spans="19:23" ht="15.75" customHeight="1" x14ac:dyDescent="0.45">
      <c r="S980" s="5"/>
      <c r="T980" s="5"/>
      <c r="U980" s="5"/>
      <c r="V980" s="5"/>
      <c r="W980" s="45"/>
    </row>
    <row r="981" spans="19:23" ht="15.75" customHeight="1" x14ac:dyDescent="0.45">
      <c r="S981" s="5"/>
      <c r="T981" s="5"/>
      <c r="U981" s="5"/>
      <c r="V981" s="5"/>
      <c r="W981" s="45"/>
    </row>
    <row r="982" spans="19:23" ht="15.75" customHeight="1" x14ac:dyDescent="0.45">
      <c r="S982" s="5"/>
      <c r="T982" s="5"/>
      <c r="U982" s="5"/>
      <c r="V982" s="5"/>
      <c r="W982" s="45"/>
    </row>
    <row r="983" spans="19:23" ht="15.75" customHeight="1" x14ac:dyDescent="0.45">
      <c r="S983" s="5"/>
      <c r="T983" s="5"/>
      <c r="U983" s="5"/>
      <c r="V983" s="5"/>
      <c r="W983" s="45"/>
    </row>
    <row r="984" spans="19:23" ht="15.75" customHeight="1" x14ac:dyDescent="0.45">
      <c r="S984" s="5"/>
      <c r="T984" s="5"/>
      <c r="U984" s="5"/>
      <c r="V984" s="5"/>
      <c r="W984" s="45"/>
    </row>
    <row r="985" spans="19:23" ht="15.75" customHeight="1" x14ac:dyDescent="0.45">
      <c r="S985" s="5"/>
      <c r="T985" s="5"/>
      <c r="U985" s="5"/>
      <c r="V985" s="5"/>
      <c r="W985" s="45"/>
    </row>
    <row r="986" spans="19:23" ht="15.75" customHeight="1" x14ac:dyDescent="0.45">
      <c r="S986" s="5"/>
      <c r="T986" s="5"/>
      <c r="U986" s="5"/>
      <c r="V986" s="5"/>
      <c r="W986" s="45"/>
    </row>
    <row r="987" spans="19:23" ht="15.75" customHeight="1" x14ac:dyDescent="0.45">
      <c r="S987" s="5"/>
      <c r="T987" s="5"/>
      <c r="U987" s="5"/>
      <c r="V987" s="5"/>
      <c r="W987" s="45"/>
    </row>
    <row r="988" spans="19:23" ht="15.75" customHeight="1" x14ac:dyDescent="0.45">
      <c r="S988" s="5"/>
      <c r="T988" s="5"/>
      <c r="U988" s="5"/>
      <c r="V988" s="5"/>
      <c r="W988" s="45"/>
    </row>
    <row r="989" spans="19:23" ht="15.75" customHeight="1" x14ac:dyDescent="0.45">
      <c r="S989" s="5"/>
      <c r="T989" s="5"/>
      <c r="U989" s="5"/>
      <c r="V989" s="5"/>
      <c r="W989" s="45"/>
    </row>
    <row r="990" spans="19:23" ht="15.75" customHeight="1" x14ac:dyDescent="0.45">
      <c r="S990" s="5"/>
      <c r="T990" s="5"/>
      <c r="U990" s="5"/>
      <c r="V990" s="5"/>
      <c r="W990" s="45"/>
    </row>
    <row r="991" spans="19:23" ht="15.75" customHeight="1" x14ac:dyDescent="0.45">
      <c r="S991" s="5"/>
      <c r="T991" s="5"/>
      <c r="U991" s="5"/>
      <c r="V991" s="5"/>
      <c r="W991" s="45"/>
    </row>
    <row r="992" spans="19:23" ht="15.75" customHeight="1" x14ac:dyDescent="0.45">
      <c r="S992" s="5"/>
      <c r="T992" s="5"/>
      <c r="U992" s="5"/>
      <c r="V992" s="5"/>
      <c r="W992" s="45"/>
    </row>
    <row r="993" spans="19:23" ht="15.75" customHeight="1" x14ac:dyDescent="0.45">
      <c r="S993" s="5"/>
      <c r="T993" s="5"/>
      <c r="U993" s="5"/>
      <c r="V993" s="5"/>
      <c r="W993" s="45"/>
    </row>
    <row r="994" spans="19:23" ht="15.75" customHeight="1" x14ac:dyDescent="0.45">
      <c r="S994" s="5"/>
      <c r="T994" s="5"/>
      <c r="U994" s="5"/>
      <c r="V994" s="5"/>
      <c r="W994" s="45"/>
    </row>
    <row r="995" spans="19:23" ht="15.75" customHeight="1" x14ac:dyDescent="0.45">
      <c r="S995" s="5"/>
      <c r="T995" s="5"/>
      <c r="U995" s="5"/>
      <c r="V995" s="5"/>
      <c r="W995" s="45"/>
    </row>
    <row r="996" spans="19:23" ht="15.75" customHeight="1" x14ac:dyDescent="0.45">
      <c r="S996" s="5"/>
      <c r="T996" s="5"/>
      <c r="U996" s="5"/>
      <c r="V996" s="5"/>
      <c r="W996" s="45"/>
    </row>
    <row r="997" spans="19:23" ht="15.75" customHeight="1" x14ac:dyDescent="0.45">
      <c r="S997" s="5"/>
      <c r="T997" s="5"/>
      <c r="U997" s="5"/>
      <c r="V997" s="5"/>
      <c r="W997" s="45"/>
    </row>
    <row r="998" spans="19:23" ht="15.75" customHeight="1" x14ac:dyDescent="0.45">
      <c r="S998" s="5"/>
      <c r="T998" s="5"/>
      <c r="U998" s="5"/>
      <c r="V998" s="5"/>
      <c r="W998" s="45"/>
    </row>
    <row r="999" spans="19:23" ht="15.75" customHeight="1" x14ac:dyDescent="0.45">
      <c r="S999" s="5"/>
      <c r="T999" s="5"/>
      <c r="U999" s="5"/>
      <c r="V999" s="5"/>
      <c r="W999" s="45"/>
    </row>
    <row r="1000" spans="19:23" ht="15.75" customHeight="1" x14ac:dyDescent="0.45">
      <c r="S1000" s="5"/>
      <c r="T1000" s="5"/>
      <c r="U1000" s="5"/>
      <c r="V1000" s="5"/>
      <c r="W1000" s="45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>
        <v>0.375</v>
      </c>
      <c r="P8" s="23" t="s">
        <v>36</v>
      </c>
      <c r="Q8" s="47">
        <v>0.72916666666666663</v>
      </c>
      <c r="R8" s="244">
        <v>4.1666666666666664E-2</v>
      </c>
      <c r="S8" s="245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6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>
        <v>0.39583333333333331</v>
      </c>
      <c r="P8" s="23" t="s">
        <v>36</v>
      </c>
      <c r="Q8" s="47">
        <v>0.75</v>
      </c>
      <c r="R8" s="244">
        <v>4.1666666666666664E-2</v>
      </c>
      <c r="S8" s="245"/>
      <c r="T8" s="25">
        <f t="shared" ref="T8:T9" si="0">Q8-O8-R8</f>
        <v>0.3125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56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3984375" defaultRowHeight="15" customHeight="1" x14ac:dyDescent="0.45"/>
  <cols>
    <col min="1" max="1" width="7.3984375" hidden="1" customWidth="1"/>
    <col min="2" max="2" width="2.86328125" customWidth="1"/>
    <col min="3" max="3" width="4.3984375" customWidth="1"/>
    <col min="4" max="4" width="3.265625" customWidth="1"/>
    <col min="5" max="7" width="5.59765625" customWidth="1"/>
    <col min="8" max="8" width="2" customWidth="1"/>
    <col min="9" max="10" width="5.59765625" customWidth="1"/>
    <col min="11" max="11" width="6.3984375" customWidth="1"/>
    <col min="12" max="12" width="7.265625" customWidth="1"/>
    <col min="13" max="14" width="6.1328125" customWidth="1"/>
    <col min="15" max="15" width="7.265625" customWidth="1"/>
    <col min="16" max="16" width="2.3984375" customWidth="1"/>
    <col min="17" max="19" width="7.265625" customWidth="1"/>
    <col min="20" max="20" width="7.86328125" customWidth="1"/>
    <col min="21" max="22" width="8" customWidth="1"/>
    <col min="23" max="23" width="8.73046875" customWidth="1"/>
    <col min="24" max="26" width="7.59765625" customWidth="1"/>
  </cols>
  <sheetData>
    <row r="1" spans="1:26" ht="32.25" customHeight="1" x14ac:dyDescent="0.4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4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4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4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4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4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4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4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4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4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4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4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4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4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4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4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4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4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4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4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4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4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4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4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4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4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4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4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4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4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4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4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4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4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4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4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4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4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4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4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4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4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4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4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4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4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4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4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4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4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4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4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4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4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4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4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4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4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4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4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4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4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4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4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4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4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4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4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4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4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4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4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4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4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4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4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4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4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4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4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4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4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4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4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4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4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4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4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4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4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4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4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4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4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4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4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4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4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4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4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4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4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4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4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4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4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4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4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4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4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4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4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4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4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4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4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4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4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4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4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4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4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4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4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4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4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4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4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4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4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4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4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4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4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4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4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4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4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4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4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4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4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4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4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4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4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4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4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4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4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4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4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4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4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4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4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4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4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4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4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4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4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4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4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4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4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4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4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4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4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4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4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4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4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4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4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4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4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4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4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4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4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4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4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4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4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4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4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4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4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4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4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4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4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4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4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4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4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4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4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4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4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4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4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4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4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4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4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4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4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4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4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4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4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4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4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4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4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4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4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4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4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4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4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4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4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4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4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4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4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4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4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4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4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4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4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4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4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4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4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4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4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4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4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4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45">
      <c r="S246" s="5"/>
      <c r="T246" s="5"/>
      <c r="U246" s="5"/>
      <c r="V246" s="5"/>
      <c r="W246" s="45"/>
      <c r="Y246" s="4"/>
    </row>
    <row r="247" spans="1:26" ht="15.75" customHeight="1" x14ac:dyDescent="0.45">
      <c r="S247" s="5"/>
      <c r="T247" s="5"/>
      <c r="U247" s="5"/>
      <c r="V247" s="5"/>
      <c r="W247" s="45"/>
      <c r="Y247" s="4"/>
    </row>
    <row r="248" spans="1:26" ht="15.75" customHeight="1" x14ac:dyDescent="0.45">
      <c r="S248" s="5"/>
      <c r="T248" s="5"/>
      <c r="U248" s="5"/>
      <c r="V248" s="5"/>
      <c r="W248" s="45"/>
      <c r="Y248" s="4"/>
    </row>
    <row r="249" spans="1:26" ht="15.75" customHeight="1" x14ac:dyDescent="0.45">
      <c r="S249" s="5"/>
      <c r="T249" s="5"/>
      <c r="U249" s="5"/>
      <c r="V249" s="5"/>
      <c r="W249" s="45"/>
      <c r="Y249" s="4"/>
    </row>
    <row r="250" spans="1:26" ht="15.75" customHeight="1" x14ac:dyDescent="0.45">
      <c r="S250" s="5"/>
      <c r="T250" s="5"/>
      <c r="U250" s="5"/>
      <c r="V250" s="5"/>
      <c r="W250" s="45"/>
      <c r="Y250" s="4"/>
    </row>
    <row r="251" spans="1:26" ht="15.75" customHeight="1" x14ac:dyDescent="0.45">
      <c r="S251" s="5"/>
      <c r="T251" s="5"/>
      <c r="U251" s="5"/>
      <c r="V251" s="5"/>
      <c r="W251" s="45"/>
      <c r="Y251" s="4"/>
    </row>
    <row r="252" spans="1:26" ht="15.75" customHeight="1" x14ac:dyDescent="0.45">
      <c r="S252" s="5"/>
      <c r="T252" s="5"/>
      <c r="U252" s="5"/>
      <c r="V252" s="5"/>
      <c r="W252" s="45"/>
      <c r="Y252" s="4"/>
    </row>
    <row r="253" spans="1:26" ht="15.75" customHeight="1" x14ac:dyDescent="0.45">
      <c r="S253" s="5"/>
      <c r="T253" s="5"/>
      <c r="U253" s="5"/>
      <c r="V253" s="5"/>
      <c r="W253" s="45"/>
      <c r="Y253" s="4"/>
    </row>
    <row r="254" spans="1:26" ht="15.75" customHeight="1" x14ac:dyDescent="0.45">
      <c r="S254" s="5"/>
      <c r="T254" s="5"/>
      <c r="U254" s="5"/>
      <c r="V254" s="5"/>
      <c r="W254" s="45"/>
      <c r="Y254" s="4"/>
    </row>
    <row r="255" spans="1:26" ht="15.75" customHeight="1" x14ac:dyDescent="0.45">
      <c r="S255" s="5"/>
      <c r="T255" s="5"/>
      <c r="U255" s="5"/>
      <c r="V255" s="5"/>
      <c r="W255" s="45"/>
      <c r="Y255" s="4"/>
    </row>
    <row r="256" spans="1:26" ht="15.75" customHeight="1" x14ac:dyDescent="0.45">
      <c r="S256" s="5"/>
      <c r="T256" s="5"/>
      <c r="U256" s="5"/>
      <c r="V256" s="5"/>
      <c r="W256" s="45"/>
      <c r="Y256" s="4"/>
    </row>
    <row r="257" spans="19:25" ht="15.75" customHeight="1" x14ac:dyDescent="0.45">
      <c r="S257" s="5"/>
      <c r="T257" s="5"/>
      <c r="U257" s="5"/>
      <c r="V257" s="5"/>
      <c r="W257" s="45"/>
      <c r="Y257" s="4"/>
    </row>
    <row r="258" spans="19:25" ht="15.75" customHeight="1" x14ac:dyDescent="0.45">
      <c r="S258" s="5"/>
      <c r="T258" s="5"/>
      <c r="U258" s="5"/>
      <c r="V258" s="5"/>
      <c r="W258" s="45"/>
      <c r="Y258" s="4"/>
    </row>
    <row r="259" spans="19:25" ht="15.75" customHeight="1" x14ac:dyDescent="0.45">
      <c r="S259" s="5"/>
      <c r="T259" s="5"/>
      <c r="U259" s="5"/>
      <c r="V259" s="5"/>
      <c r="W259" s="45"/>
      <c r="Y259" s="4"/>
    </row>
    <row r="260" spans="19:25" ht="15.75" customHeight="1" x14ac:dyDescent="0.45">
      <c r="S260" s="5"/>
      <c r="T260" s="5"/>
      <c r="U260" s="5"/>
      <c r="V260" s="5"/>
      <c r="W260" s="45"/>
      <c r="Y260" s="4"/>
    </row>
    <row r="261" spans="19:25" ht="15.75" customHeight="1" x14ac:dyDescent="0.45">
      <c r="S261" s="5"/>
      <c r="T261" s="5"/>
      <c r="U261" s="5"/>
      <c r="V261" s="5"/>
      <c r="W261" s="45"/>
      <c r="Y261" s="4"/>
    </row>
    <row r="262" spans="19:25" ht="15.75" customHeight="1" x14ac:dyDescent="0.45">
      <c r="S262" s="5"/>
      <c r="T262" s="5"/>
      <c r="U262" s="5"/>
      <c r="V262" s="5"/>
      <c r="W262" s="45"/>
      <c r="Y262" s="4"/>
    </row>
    <row r="263" spans="19:25" ht="15.75" customHeight="1" x14ac:dyDescent="0.45">
      <c r="S263" s="5"/>
      <c r="T263" s="5"/>
      <c r="U263" s="5"/>
      <c r="V263" s="5"/>
      <c r="W263" s="45"/>
      <c r="Y263" s="4"/>
    </row>
    <row r="264" spans="19:25" ht="15.75" customHeight="1" x14ac:dyDescent="0.45">
      <c r="S264" s="5"/>
      <c r="T264" s="5"/>
      <c r="U264" s="5"/>
      <c r="V264" s="5"/>
      <c r="W264" s="45"/>
      <c r="Y264" s="4"/>
    </row>
    <row r="265" spans="19:25" ht="15.75" customHeight="1" x14ac:dyDescent="0.45">
      <c r="S265" s="5"/>
      <c r="T265" s="5"/>
      <c r="U265" s="5"/>
      <c r="V265" s="5"/>
      <c r="W265" s="45"/>
      <c r="Y265" s="4"/>
    </row>
    <row r="266" spans="19:25" ht="15.75" customHeight="1" x14ac:dyDescent="0.45">
      <c r="S266" s="5"/>
      <c r="T266" s="5"/>
      <c r="U266" s="5"/>
      <c r="V266" s="5"/>
      <c r="W266" s="45"/>
      <c r="Y266" s="4"/>
    </row>
    <row r="267" spans="19:25" ht="15.75" customHeight="1" x14ac:dyDescent="0.45">
      <c r="S267" s="5"/>
      <c r="T267" s="5"/>
      <c r="U267" s="5"/>
      <c r="V267" s="5"/>
      <c r="W267" s="45"/>
      <c r="Y267" s="4"/>
    </row>
    <row r="268" spans="19:25" ht="15.75" customHeight="1" x14ac:dyDescent="0.45">
      <c r="S268" s="5"/>
      <c r="T268" s="5"/>
      <c r="U268" s="5"/>
      <c r="V268" s="5"/>
      <c r="W268" s="45"/>
      <c r="Y268" s="4"/>
    </row>
    <row r="269" spans="19:25" ht="15.75" customHeight="1" x14ac:dyDescent="0.45">
      <c r="S269" s="5"/>
      <c r="T269" s="5"/>
      <c r="U269" s="5"/>
      <c r="V269" s="5"/>
      <c r="W269" s="45"/>
      <c r="Y269" s="4"/>
    </row>
    <row r="270" spans="19:25" ht="15.75" customHeight="1" x14ac:dyDescent="0.45">
      <c r="S270" s="5"/>
      <c r="T270" s="5"/>
      <c r="U270" s="5"/>
      <c r="V270" s="5"/>
      <c r="W270" s="45"/>
      <c r="Y270" s="4"/>
    </row>
    <row r="271" spans="19:25" ht="15.75" customHeight="1" x14ac:dyDescent="0.45">
      <c r="S271" s="5"/>
      <c r="T271" s="5"/>
      <c r="U271" s="5"/>
      <c r="V271" s="5"/>
      <c r="W271" s="45"/>
      <c r="Y271" s="4"/>
    </row>
    <row r="272" spans="19:25" ht="15.75" customHeight="1" x14ac:dyDescent="0.45">
      <c r="S272" s="5"/>
      <c r="T272" s="5"/>
      <c r="U272" s="5"/>
      <c r="V272" s="5"/>
      <c r="W272" s="45"/>
      <c r="Y272" s="4"/>
    </row>
    <row r="273" spans="19:25" ht="15.75" customHeight="1" x14ac:dyDescent="0.45">
      <c r="S273" s="5"/>
      <c r="T273" s="5"/>
      <c r="U273" s="5"/>
      <c r="V273" s="5"/>
      <c r="W273" s="45"/>
      <c r="Y273" s="4"/>
    </row>
    <row r="274" spans="19:25" ht="15.75" customHeight="1" x14ac:dyDescent="0.45">
      <c r="S274" s="5"/>
      <c r="T274" s="5"/>
      <c r="U274" s="5"/>
      <c r="V274" s="5"/>
      <c r="W274" s="45"/>
      <c r="Y274" s="4"/>
    </row>
    <row r="275" spans="19:25" ht="15.75" customHeight="1" x14ac:dyDescent="0.45">
      <c r="S275" s="5"/>
      <c r="T275" s="5"/>
      <c r="U275" s="5"/>
      <c r="V275" s="5"/>
      <c r="W275" s="45"/>
      <c r="Y275" s="4"/>
    </row>
    <row r="276" spans="19:25" ht="15.75" customHeight="1" x14ac:dyDescent="0.45">
      <c r="S276" s="5"/>
      <c r="T276" s="5"/>
      <c r="U276" s="5"/>
      <c r="V276" s="5"/>
      <c r="W276" s="45"/>
      <c r="Y276" s="4"/>
    </row>
    <row r="277" spans="19:25" ht="15.75" customHeight="1" x14ac:dyDescent="0.45">
      <c r="S277" s="5"/>
      <c r="T277" s="5"/>
      <c r="U277" s="5"/>
      <c r="V277" s="5"/>
      <c r="W277" s="45"/>
      <c r="Y277" s="4"/>
    </row>
    <row r="278" spans="19:25" ht="15.75" customHeight="1" x14ac:dyDescent="0.45">
      <c r="S278" s="5"/>
      <c r="T278" s="5"/>
      <c r="U278" s="5"/>
      <c r="V278" s="5"/>
      <c r="W278" s="45"/>
      <c r="Y278" s="4"/>
    </row>
    <row r="279" spans="19:25" ht="15.75" customHeight="1" x14ac:dyDescent="0.45">
      <c r="S279" s="5"/>
      <c r="T279" s="5"/>
      <c r="U279" s="5"/>
      <c r="V279" s="5"/>
      <c r="W279" s="45"/>
      <c r="Y279" s="4"/>
    </row>
    <row r="280" spans="19:25" ht="15.75" customHeight="1" x14ac:dyDescent="0.45">
      <c r="S280" s="5"/>
      <c r="T280" s="5"/>
      <c r="U280" s="5"/>
      <c r="V280" s="5"/>
      <c r="W280" s="45"/>
      <c r="Y280" s="4"/>
    </row>
    <row r="281" spans="19:25" ht="15.75" customHeight="1" x14ac:dyDescent="0.45">
      <c r="S281" s="5"/>
      <c r="T281" s="5"/>
      <c r="U281" s="5"/>
      <c r="V281" s="5"/>
      <c r="W281" s="45"/>
      <c r="Y281" s="4"/>
    </row>
    <row r="282" spans="19:25" ht="15.75" customHeight="1" x14ac:dyDescent="0.45">
      <c r="S282" s="5"/>
      <c r="T282" s="5"/>
      <c r="U282" s="5"/>
      <c r="V282" s="5"/>
      <c r="W282" s="45"/>
      <c r="Y282" s="4"/>
    </row>
    <row r="283" spans="19:25" ht="15.75" customHeight="1" x14ac:dyDescent="0.45">
      <c r="S283" s="5"/>
      <c r="T283" s="5"/>
      <c r="U283" s="5"/>
      <c r="V283" s="5"/>
      <c r="W283" s="45"/>
      <c r="Y283" s="4"/>
    </row>
    <row r="284" spans="19:25" ht="15.75" customHeight="1" x14ac:dyDescent="0.45">
      <c r="S284" s="5"/>
      <c r="T284" s="5"/>
      <c r="U284" s="5"/>
      <c r="V284" s="5"/>
      <c r="W284" s="45"/>
      <c r="Y284" s="4"/>
    </row>
    <row r="285" spans="19:25" ht="15.75" customHeight="1" x14ac:dyDescent="0.45">
      <c r="S285" s="5"/>
      <c r="T285" s="5"/>
      <c r="U285" s="5"/>
      <c r="V285" s="5"/>
      <c r="W285" s="45"/>
      <c r="Y285" s="4"/>
    </row>
    <row r="286" spans="19:25" ht="15.75" customHeight="1" x14ac:dyDescent="0.45">
      <c r="S286" s="5"/>
      <c r="T286" s="5"/>
      <c r="U286" s="5"/>
      <c r="V286" s="5"/>
      <c r="W286" s="45"/>
      <c r="Y286" s="4"/>
    </row>
    <row r="287" spans="19:25" ht="15.75" customHeight="1" x14ac:dyDescent="0.45">
      <c r="S287" s="5"/>
      <c r="T287" s="5"/>
      <c r="U287" s="5"/>
      <c r="V287" s="5"/>
      <c r="W287" s="45"/>
      <c r="Y287" s="4"/>
    </row>
    <row r="288" spans="19:25" ht="15.75" customHeight="1" x14ac:dyDescent="0.45">
      <c r="S288" s="5"/>
      <c r="T288" s="5"/>
      <c r="U288" s="5"/>
      <c r="V288" s="5"/>
      <c r="W288" s="45"/>
      <c r="Y288" s="4"/>
    </row>
    <row r="289" spans="19:25" ht="15.75" customHeight="1" x14ac:dyDescent="0.45">
      <c r="S289" s="5"/>
      <c r="T289" s="5"/>
      <c r="U289" s="5"/>
      <c r="V289" s="5"/>
      <c r="W289" s="45"/>
      <c r="Y289" s="4"/>
    </row>
    <row r="290" spans="19:25" ht="15.75" customHeight="1" x14ac:dyDescent="0.45">
      <c r="S290" s="5"/>
      <c r="T290" s="5"/>
      <c r="U290" s="5"/>
      <c r="V290" s="5"/>
      <c r="W290" s="45"/>
      <c r="Y290" s="4"/>
    </row>
    <row r="291" spans="19:25" ht="15.75" customHeight="1" x14ac:dyDescent="0.45">
      <c r="S291" s="5"/>
      <c r="T291" s="5"/>
      <c r="U291" s="5"/>
      <c r="V291" s="5"/>
      <c r="W291" s="45"/>
      <c r="Y291" s="4"/>
    </row>
    <row r="292" spans="19:25" ht="15.75" customHeight="1" x14ac:dyDescent="0.45">
      <c r="S292" s="5"/>
      <c r="T292" s="5"/>
      <c r="U292" s="5"/>
      <c r="V292" s="5"/>
      <c r="W292" s="45"/>
      <c r="Y292" s="4"/>
    </row>
    <row r="293" spans="19:25" ht="15.75" customHeight="1" x14ac:dyDescent="0.45">
      <c r="S293" s="5"/>
      <c r="T293" s="5"/>
      <c r="U293" s="5"/>
      <c r="V293" s="5"/>
      <c r="W293" s="45"/>
      <c r="Y293" s="4"/>
    </row>
    <row r="294" spans="19:25" ht="15.75" customHeight="1" x14ac:dyDescent="0.45">
      <c r="S294" s="5"/>
      <c r="T294" s="5"/>
      <c r="U294" s="5"/>
      <c r="V294" s="5"/>
      <c r="W294" s="45"/>
      <c r="Y294" s="4"/>
    </row>
    <row r="295" spans="19:25" ht="15.75" customHeight="1" x14ac:dyDescent="0.45">
      <c r="S295" s="5"/>
      <c r="T295" s="5"/>
      <c r="U295" s="5"/>
      <c r="V295" s="5"/>
      <c r="W295" s="45"/>
      <c r="Y295" s="4"/>
    </row>
    <row r="296" spans="19:25" ht="15.75" customHeight="1" x14ac:dyDescent="0.45">
      <c r="S296" s="5"/>
      <c r="T296" s="5"/>
      <c r="U296" s="5"/>
      <c r="V296" s="5"/>
      <c r="W296" s="45"/>
      <c r="Y296" s="4"/>
    </row>
    <row r="297" spans="19:25" ht="15.75" customHeight="1" x14ac:dyDescent="0.45">
      <c r="S297" s="5"/>
      <c r="T297" s="5"/>
      <c r="U297" s="5"/>
      <c r="V297" s="5"/>
      <c r="W297" s="45"/>
      <c r="Y297" s="4"/>
    </row>
    <row r="298" spans="19:25" ht="15.75" customHeight="1" x14ac:dyDescent="0.45">
      <c r="S298" s="5"/>
      <c r="T298" s="5"/>
      <c r="U298" s="5"/>
      <c r="V298" s="5"/>
      <c r="W298" s="45"/>
      <c r="Y298" s="4"/>
    </row>
    <row r="299" spans="19:25" ht="15.75" customHeight="1" x14ac:dyDescent="0.45">
      <c r="S299" s="5"/>
      <c r="T299" s="5"/>
      <c r="U299" s="5"/>
      <c r="V299" s="5"/>
      <c r="W299" s="45"/>
      <c r="Y299" s="4"/>
    </row>
    <row r="300" spans="19:25" ht="15.75" customHeight="1" x14ac:dyDescent="0.45">
      <c r="S300" s="5"/>
      <c r="T300" s="5"/>
      <c r="U300" s="5"/>
      <c r="V300" s="5"/>
      <c r="W300" s="45"/>
      <c r="Y300" s="4"/>
    </row>
    <row r="301" spans="19:25" ht="15.75" customHeight="1" x14ac:dyDescent="0.45">
      <c r="S301" s="5"/>
      <c r="T301" s="5"/>
      <c r="U301" s="5"/>
      <c r="V301" s="5"/>
      <c r="W301" s="45"/>
      <c r="Y301" s="4"/>
    </row>
    <row r="302" spans="19:25" ht="15.75" customHeight="1" x14ac:dyDescent="0.45">
      <c r="S302" s="5"/>
      <c r="T302" s="5"/>
      <c r="U302" s="5"/>
      <c r="V302" s="5"/>
      <c r="W302" s="45"/>
      <c r="Y302" s="4"/>
    </row>
    <row r="303" spans="19:25" ht="15.75" customHeight="1" x14ac:dyDescent="0.45">
      <c r="S303" s="5"/>
      <c r="T303" s="5"/>
      <c r="U303" s="5"/>
      <c r="V303" s="5"/>
      <c r="W303" s="45"/>
      <c r="Y303" s="4"/>
    </row>
    <row r="304" spans="19:25" ht="15.75" customHeight="1" x14ac:dyDescent="0.45">
      <c r="S304" s="5"/>
      <c r="T304" s="5"/>
      <c r="U304" s="5"/>
      <c r="V304" s="5"/>
      <c r="W304" s="45"/>
      <c r="Y304" s="4"/>
    </row>
    <row r="305" spans="19:25" ht="15.75" customHeight="1" x14ac:dyDescent="0.45">
      <c r="S305" s="5"/>
      <c r="T305" s="5"/>
      <c r="U305" s="5"/>
      <c r="V305" s="5"/>
      <c r="W305" s="45"/>
      <c r="Y305" s="4"/>
    </row>
    <row r="306" spans="19:25" ht="15.75" customHeight="1" x14ac:dyDescent="0.45">
      <c r="S306" s="5"/>
      <c r="T306" s="5"/>
      <c r="U306" s="5"/>
      <c r="V306" s="5"/>
      <c r="W306" s="45"/>
      <c r="Y306" s="4"/>
    </row>
    <row r="307" spans="19:25" ht="15.75" customHeight="1" x14ac:dyDescent="0.45">
      <c r="S307" s="5"/>
      <c r="T307" s="5"/>
      <c r="U307" s="5"/>
      <c r="V307" s="5"/>
      <c r="W307" s="45"/>
      <c r="Y307" s="4"/>
    </row>
    <row r="308" spans="19:25" ht="15.75" customHeight="1" x14ac:dyDescent="0.45">
      <c r="S308" s="5"/>
      <c r="T308" s="5"/>
      <c r="U308" s="5"/>
      <c r="V308" s="5"/>
      <c r="W308" s="45"/>
      <c r="Y308" s="4"/>
    </row>
    <row r="309" spans="19:25" ht="15.75" customHeight="1" x14ac:dyDescent="0.45">
      <c r="S309" s="5"/>
      <c r="T309" s="5"/>
      <c r="U309" s="5"/>
      <c r="V309" s="5"/>
      <c r="W309" s="45"/>
      <c r="Y309" s="4"/>
    </row>
    <row r="310" spans="19:25" ht="15.75" customHeight="1" x14ac:dyDescent="0.45">
      <c r="S310" s="5"/>
      <c r="T310" s="5"/>
      <c r="U310" s="5"/>
      <c r="V310" s="5"/>
      <c r="W310" s="45"/>
      <c r="Y310" s="4"/>
    </row>
    <row r="311" spans="19:25" ht="15.75" customHeight="1" x14ac:dyDescent="0.45">
      <c r="S311" s="5"/>
      <c r="T311" s="5"/>
      <c r="U311" s="5"/>
      <c r="V311" s="5"/>
      <c r="W311" s="45"/>
      <c r="Y311" s="4"/>
    </row>
    <row r="312" spans="19:25" ht="15.75" customHeight="1" x14ac:dyDescent="0.45">
      <c r="S312" s="5"/>
      <c r="T312" s="5"/>
      <c r="U312" s="5"/>
      <c r="V312" s="5"/>
      <c r="W312" s="45"/>
      <c r="Y312" s="4"/>
    </row>
    <row r="313" spans="19:25" ht="15.75" customHeight="1" x14ac:dyDescent="0.45">
      <c r="S313" s="5"/>
      <c r="T313" s="5"/>
      <c r="U313" s="5"/>
      <c r="V313" s="5"/>
      <c r="W313" s="45"/>
      <c r="Y313" s="4"/>
    </row>
    <row r="314" spans="19:25" ht="15.75" customHeight="1" x14ac:dyDescent="0.45">
      <c r="S314" s="5"/>
      <c r="T314" s="5"/>
      <c r="U314" s="5"/>
      <c r="V314" s="5"/>
      <c r="W314" s="45"/>
      <c r="Y314" s="4"/>
    </row>
    <row r="315" spans="19:25" ht="15.75" customHeight="1" x14ac:dyDescent="0.45">
      <c r="S315" s="5"/>
      <c r="T315" s="5"/>
      <c r="U315" s="5"/>
      <c r="V315" s="5"/>
      <c r="W315" s="45"/>
      <c r="Y315" s="4"/>
    </row>
    <row r="316" spans="19:25" ht="15.75" customHeight="1" x14ac:dyDescent="0.45">
      <c r="S316" s="5"/>
      <c r="T316" s="5"/>
      <c r="U316" s="5"/>
      <c r="V316" s="5"/>
      <c r="W316" s="45"/>
      <c r="Y316" s="4"/>
    </row>
    <row r="317" spans="19:25" ht="15.75" customHeight="1" x14ac:dyDescent="0.45">
      <c r="S317" s="5"/>
      <c r="T317" s="5"/>
      <c r="U317" s="5"/>
      <c r="V317" s="5"/>
      <c r="W317" s="45"/>
      <c r="Y317" s="4"/>
    </row>
    <row r="318" spans="19:25" ht="15.75" customHeight="1" x14ac:dyDescent="0.45">
      <c r="S318" s="5"/>
      <c r="T318" s="5"/>
      <c r="U318" s="5"/>
      <c r="V318" s="5"/>
      <c r="W318" s="45"/>
      <c r="Y318" s="4"/>
    </row>
    <row r="319" spans="19:25" ht="15.75" customHeight="1" x14ac:dyDescent="0.45">
      <c r="S319" s="5"/>
      <c r="T319" s="5"/>
      <c r="U319" s="5"/>
      <c r="V319" s="5"/>
      <c r="W319" s="45"/>
      <c r="Y319" s="4"/>
    </row>
    <row r="320" spans="19:25" ht="15.75" customHeight="1" x14ac:dyDescent="0.45">
      <c r="S320" s="5"/>
      <c r="T320" s="5"/>
      <c r="U320" s="5"/>
      <c r="V320" s="5"/>
      <c r="W320" s="45"/>
      <c r="Y320" s="4"/>
    </row>
    <row r="321" spans="19:25" ht="15.75" customHeight="1" x14ac:dyDescent="0.45">
      <c r="S321" s="5"/>
      <c r="T321" s="5"/>
      <c r="U321" s="5"/>
      <c r="V321" s="5"/>
      <c r="W321" s="45"/>
      <c r="Y321" s="4"/>
    </row>
    <row r="322" spans="19:25" ht="15.75" customHeight="1" x14ac:dyDescent="0.45">
      <c r="S322" s="5"/>
      <c r="T322" s="5"/>
      <c r="U322" s="5"/>
      <c r="V322" s="5"/>
      <c r="W322" s="45"/>
      <c r="Y322" s="4"/>
    </row>
    <row r="323" spans="19:25" ht="15.75" customHeight="1" x14ac:dyDescent="0.45">
      <c r="S323" s="5"/>
      <c r="T323" s="5"/>
      <c r="U323" s="5"/>
      <c r="V323" s="5"/>
      <c r="W323" s="45"/>
      <c r="Y323" s="4"/>
    </row>
    <row r="324" spans="19:25" ht="15.75" customHeight="1" x14ac:dyDescent="0.45">
      <c r="S324" s="5"/>
      <c r="T324" s="5"/>
      <c r="U324" s="5"/>
      <c r="V324" s="5"/>
      <c r="W324" s="45"/>
      <c r="Y324" s="4"/>
    </row>
    <row r="325" spans="19:25" ht="15.75" customHeight="1" x14ac:dyDescent="0.45">
      <c r="S325" s="5"/>
      <c r="T325" s="5"/>
      <c r="U325" s="5"/>
      <c r="V325" s="5"/>
      <c r="W325" s="45"/>
      <c r="Y325" s="4"/>
    </row>
    <row r="326" spans="19:25" ht="15.75" customHeight="1" x14ac:dyDescent="0.45">
      <c r="S326" s="5"/>
      <c r="T326" s="5"/>
      <c r="U326" s="5"/>
      <c r="V326" s="5"/>
      <c r="W326" s="45"/>
      <c r="Y326" s="4"/>
    </row>
    <row r="327" spans="19:25" ht="15.75" customHeight="1" x14ac:dyDescent="0.45">
      <c r="S327" s="5"/>
      <c r="T327" s="5"/>
      <c r="U327" s="5"/>
      <c r="V327" s="5"/>
      <c r="W327" s="45"/>
      <c r="Y327" s="4"/>
    </row>
    <row r="328" spans="19:25" ht="15.75" customHeight="1" x14ac:dyDescent="0.45">
      <c r="S328" s="5"/>
      <c r="T328" s="5"/>
      <c r="U328" s="5"/>
      <c r="V328" s="5"/>
      <c r="W328" s="45"/>
      <c r="Y328" s="4"/>
    </row>
    <row r="329" spans="19:25" ht="15.75" customHeight="1" x14ac:dyDescent="0.45">
      <c r="S329" s="5"/>
      <c r="T329" s="5"/>
      <c r="U329" s="5"/>
      <c r="V329" s="5"/>
      <c r="W329" s="45"/>
      <c r="Y329" s="4"/>
    </row>
    <row r="330" spans="19:25" ht="15.75" customHeight="1" x14ac:dyDescent="0.45">
      <c r="S330" s="5"/>
      <c r="T330" s="5"/>
      <c r="U330" s="5"/>
      <c r="V330" s="5"/>
      <c r="W330" s="45"/>
      <c r="Y330" s="4"/>
    </row>
    <row r="331" spans="19:25" ht="15.75" customHeight="1" x14ac:dyDescent="0.45">
      <c r="S331" s="5"/>
      <c r="T331" s="5"/>
      <c r="U331" s="5"/>
      <c r="V331" s="5"/>
      <c r="W331" s="45"/>
      <c r="Y331" s="4"/>
    </row>
    <row r="332" spans="19:25" ht="15.75" customHeight="1" x14ac:dyDescent="0.45">
      <c r="S332" s="5"/>
      <c r="T332" s="5"/>
      <c r="U332" s="5"/>
      <c r="V332" s="5"/>
      <c r="W332" s="45"/>
      <c r="Y332" s="4"/>
    </row>
    <row r="333" spans="19:25" ht="15.75" customHeight="1" x14ac:dyDescent="0.45">
      <c r="S333" s="5"/>
      <c r="T333" s="5"/>
      <c r="U333" s="5"/>
      <c r="V333" s="5"/>
      <c r="W333" s="45"/>
      <c r="Y333" s="4"/>
    </row>
    <row r="334" spans="19:25" ht="15.75" customHeight="1" x14ac:dyDescent="0.45">
      <c r="S334" s="5"/>
      <c r="T334" s="5"/>
      <c r="U334" s="5"/>
      <c r="V334" s="5"/>
      <c r="W334" s="45"/>
      <c r="Y334" s="4"/>
    </row>
    <row r="335" spans="19:25" ht="15.75" customHeight="1" x14ac:dyDescent="0.45">
      <c r="S335" s="5"/>
      <c r="T335" s="5"/>
      <c r="U335" s="5"/>
      <c r="V335" s="5"/>
      <c r="W335" s="45"/>
      <c r="Y335" s="4"/>
    </row>
    <row r="336" spans="19:25" ht="15.75" customHeight="1" x14ac:dyDescent="0.45">
      <c r="S336" s="5"/>
      <c r="T336" s="5"/>
      <c r="U336" s="5"/>
      <c r="V336" s="5"/>
      <c r="W336" s="45"/>
      <c r="Y336" s="4"/>
    </row>
    <row r="337" spans="19:25" ht="15.75" customHeight="1" x14ac:dyDescent="0.45">
      <c r="S337" s="5"/>
      <c r="T337" s="5"/>
      <c r="U337" s="5"/>
      <c r="V337" s="5"/>
      <c r="W337" s="45"/>
      <c r="Y337" s="4"/>
    </row>
    <row r="338" spans="19:25" ht="15.75" customHeight="1" x14ac:dyDescent="0.45">
      <c r="S338" s="5"/>
      <c r="T338" s="5"/>
      <c r="U338" s="5"/>
      <c r="V338" s="5"/>
      <c r="W338" s="45"/>
      <c r="Y338" s="4"/>
    </row>
    <row r="339" spans="19:25" ht="15.75" customHeight="1" x14ac:dyDescent="0.45">
      <c r="S339" s="5"/>
      <c r="T339" s="5"/>
      <c r="U339" s="5"/>
      <c r="V339" s="5"/>
      <c r="W339" s="45"/>
      <c r="Y339" s="4"/>
    </row>
    <row r="340" spans="19:25" ht="15.75" customHeight="1" x14ac:dyDescent="0.45">
      <c r="S340" s="5"/>
      <c r="T340" s="5"/>
      <c r="U340" s="5"/>
      <c r="V340" s="5"/>
      <c r="W340" s="45"/>
      <c r="Y340" s="4"/>
    </row>
    <row r="341" spans="19:25" ht="15.75" customHeight="1" x14ac:dyDescent="0.45">
      <c r="S341" s="5"/>
      <c r="T341" s="5"/>
      <c r="U341" s="5"/>
      <c r="V341" s="5"/>
      <c r="W341" s="45"/>
      <c r="Y341" s="4"/>
    </row>
    <row r="342" spans="19:25" ht="15.75" customHeight="1" x14ac:dyDescent="0.45">
      <c r="S342" s="5"/>
      <c r="T342" s="5"/>
      <c r="U342" s="5"/>
      <c r="V342" s="5"/>
      <c r="W342" s="45"/>
      <c r="Y342" s="4"/>
    </row>
    <row r="343" spans="19:25" ht="15.75" customHeight="1" x14ac:dyDescent="0.45">
      <c r="S343" s="5"/>
      <c r="T343" s="5"/>
      <c r="U343" s="5"/>
      <c r="V343" s="5"/>
      <c r="W343" s="45"/>
      <c r="Y343" s="4"/>
    </row>
    <row r="344" spans="19:25" ht="15.75" customHeight="1" x14ac:dyDescent="0.45">
      <c r="S344" s="5"/>
      <c r="T344" s="5"/>
      <c r="U344" s="5"/>
      <c r="V344" s="5"/>
      <c r="W344" s="45"/>
      <c r="Y344" s="4"/>
    </row>
    <row r="345" spans="19:25" ht="15.75" customHeight="1" x14ac:dyDescent="0.45">
      <c r="S345" s="5"/>
      <c r="T345" s="5"/>
      <c r="U345" s="5"/>
      <c r="V345" s="5"/>
      <c r="W345" s="45"/>
      <c r="Y345" s="4"/>
    </row>
    <row r="346" spans="19:25" ht="15.75" customHeight="1" x14ac:dyDescent="0.45">
      <c r="S346" s="5"/>
      <c r="T346" s="5"/>
      <c r="U346" s="5"/>
      <c r="V346" s="5"/>
      <c r="W346" s="45"/>
      <c r="Y346" s="4"/>
    </row>
    <row r="347" spans="19:25" ht="15.75" customHeight="1" x14ac:dyDescent="0.45">
      <c r="S347" s="5"/>
      <c r="T347" s="5"/>
      <c r="U347" s="5"/>
      <c r="V347" s="5"/>
      <c r="W347" s="45"/>
      <c r="Y347" s="4"/>
    </row>
    <row r="348" spans="19:25" ht="15.75" customHeight="1" x14ac:dyDescent="0.45">
      <c r="S348" s="5"/>
      <c r="T348" s="5"/>
      <c r="U348" s="5"/>
      <c r="V348" s="5"/>
      <c r="W348" s="45"/>
      <c r="Y348" s="4"/>
    </row>
    <row r="349" spans="19:25" ht="15.75" customHeight="1" x14ac:dyDescent="0.45">
      <c r="S349" s="5"/>
      <c r="T349" s="5"/>
      <c r="U349" s="5"/>
      <c r="V349" s="5"/>
      <c r="W349" s="45"/>
      <c r="Y349" s="4"/>
    </row>
    <row r="350" spans="19:25" ht="15.75" customHeight="1" x14ac:dyDescent="0.45">
      <c r="S350" s="5"/>
      <c r="T350" s="5"/>
      <c r="U350" s="5"/>
      <c r="V350" s="5"/>
      <c r="W350" s="45"/>
      <c r="Y350" s="4"/>
    </row>
    <row r="351" spans="19:25" ht="15.75" customHeight="1" x14ac:dyDescent="0.45">
      <c r="S351" s="5"/>
      <c r="T351" s="5"/>
      <c r="U351" s="5"/>
      <c r="V351" s="5"/>
      <c r="W351" s="45"/>
      <c r="Y351" s="4"/>
    </row>
    <row r="352" spans="19:25" ht="15.75" customHeight="1" x14ac:dyDescent="0.45">
      <c r="S352" s="5"/>
      <c r="T352" s="5"/>
      <c r="U352" s="5"/>
      <c r="V352" s="5"/>
      <c r="W352" s="45"/>
      <c r="Y352" s="4"/>
    </row>
    <row r="353" spans="19:25" ht="15.75" customHeight="1" x14ac:dyDescent="0.45">
      <c r="S353" s="5"/>
      <c r="T353" s="5"/>
      <c r="U353" s="5"/>
      <c r="V353" s="5"/>
      <c r="W353" s="45"/>
      <c r="Y353" s="4"/>
    </row>
    <row r="354" spans="19:25" ht="15.75" customHeight="1" x14ac:dyDescent="0.45">
      <c r="S354" s="5"/>
      <c r="T354" s="5"/>
      <c r="U354" s="5"/>
      <c r="V354" s="5"/>
      <c r="W354" s="45"/>
      <c r="Y354" s="4"/>
    </row>
    <row r="355" spans="19:25" ht="15.75" customHeight="1" x14ac:dyDescent="0.45">
      <c r="S355" s="5"/>
      <c r="T355" s="5"/>
      <c r="U355" s="5"/>
      <c r="V355" s="5"/>
      <c r="W355" s="45"/>
      <c r="Y355" s="4"/>
    </row>
    <row r="356" spans="19:25" ht="15.75" customHeight="1" x14ac:dyDescent="0.45">
      <c r="S356" s="5"/>
      <c r="T356" s="5"/>
      <c r="U356" s="5"/>
      <c r="V356" s="5"/>
      <c r="W356" s="45"/>
      <c r="Y356" s="4"/>
    </row>
    <row r="357" spans="19:25" ht="15.75" customHeight="1" x14ac:dyDescent="0.45">
      <c r="S357" s="5"/>
      <c r="T357" s="5"/>
      <c r="U357" s="5"/>
      <c r="V357" s="5"/>
      <c r="W357" s="45"/>
      <c r="Y357" s="4"/>
    </row>
    <row r="358" spans="19:25" ht="15.75" customHeight="1" x14ac:dyDescent="0.45">
      <c r="S358" s="5"/>
      <c r="T358" s="5"/>
      <c r="U358" s="5"/>
      <c r="V358" s="5"/>
      <c r="W358" s="45"/>
      <c r="Y358" s="4"/>
    </row>
    <row r="359" spans="19:25" ht="15.75" customHeight="1" x14ac:dyDescent="0.45">
      <c r="S359" s="5"/>
      <c r="T359" s="5"/>
      <c r="U359" s="5"/>
      <c r="V359" s="5"/>
      <c r="W359" s="45"/>
      <c r="Y359" s="4"/>
    </row>
    <row r="360" spans="19:25" ht="15.75" customHeight="1" x14ac:dyDescent="0.45">
      <c r="S360" s="5"/>
      <c r="T360" s="5"/>
      <c r="U360" s="5"/>
      <c r="V360" s="5"/>
      <c r="W360" s="45"/>
      <c r="Y360" s="4"/>
    </row>
    <row r="361" spans="19:25" ht="15.75" customHeight="1" x14ac:dyDescent="0.45">
      <c r="S361" s="5"/>
      <c r="T361" s="5"/>
      <c r="U361" s="5"/>
      <c r="V361" s="5"/>
      <c r="W361" s="45"/>
      <c r="Y361" s="4"/>
    </row>
    <row r="362" spans="19:25" ht="15.75" customHeight="1" x14ac:dyDescent="0.45">
      <c r="S362" s="5"/>
      <c r="T362" s="5"/>
      <c r="U362" s="5"/>
      <c r="V362" s="5"/>
      <c r="W362" s="45"/>
      <c r="Y362" s="4"/>
    </row>
    <row r="363" spans="19:25" ht="15.75" customHeight="1" x14ac:dyDescent="0.45">
      <c r="S363" s="5"/>
      <c r="T363" s="5"/>
      <c r="U363" s="5"/>
      <c r="V363" s="5"/>
      <c r="W363" s="45"/>
      <c r="Y363" s="4"/>
    </row>
    <row r="364" spans="19:25" ht="15.75" customHeight="1" x14ac:dyDescent="0.45">
      <c r="S364" s="5"/>
      <c r="T364" s="5"/>
      <c r="U364" s="5"/>
      <c r="V364" s="5"/>
      <c r="W364" s="45"/>
      <c r="Y364" s="4"/>
    </row>
    <row r="365" spans="19:25" ht="15.75" customHeight="1" x14ac:dyDescent="0.45">
      <c r="S365" s="5"/>
      <c r="T365" s="5"/>
      <c r="U365" s="5"/>
      <c r="V365" s="5"/>
      <c r="W365" s="45"/>
      <c r="Y365" s="4"/>
    </row>
    <row r="366" spans="19:25" ht="15.75" customHeight="1" x14ac:dyDescent="0.45">
      <c r="S366" s="5"/>
      <c r="T366" s="5"/>
      <c r="U366" s="5"/>
      <c r="V366" s="5"/>
      <c r="W366" s="45"/>
      <c r="Y366" s="4"/>
    </row>
    <row r="367" spans="19:25" ht="15.75" customHeight="1" x14ac:dyDescent="0.45">
      <c r="S367" s="5"/>
      <c r="T367" s="5"/>
      <c r="U367" s="5"/>
      <c r="V367" s="5"/>
      <c r="W367" s="45"/>
      <c r="Y367" s="4"/>
    </row>
    <row r="368" spans="19:25" ht="15.75" customHeight="1" x14ac:dyDescent="0.45">
      <c r="S368" s="5"/>
      <c r="T368" s="5"/>
      <c r="U368" s="5"/>
      <c r="V368" s="5"/>
      <c r="W368" s="45"/>
      <c r="Y368" s="4"/>
    </row>
    <row r="369" spans="19:25" ht="15.75" customHeight="1" x14ac:dyDescent="0.45">
      <c r="S369" s="5"/>
      <c r="T369" s="5"/>
      <c r="U369" s="5"/>
      <c r="V369" s="5"/>
      <c r="W369" s="45"/>
      <c r="Y369" s="4"/>
    </row>
    <row r="370" spans="19:25" ht="15.75" customHeight="1" x14ac:dyDescent="0.45">
      <c r="S370" s="5"/>
      <c r="T370" s="5"/>
      <c r="U370" s="5"/>
      <c r="V370" s="5"/>
      <c r="W370" s="45"/>
      <c r="Y370" s="4"/>
    </row>
    <row r="371" spans="19:25" ht="15.75" customHeight="1" x14ac:dyDescent="0.45">
      <c r="S371" s="5"/>
      <c r="T371" s="5"/>
      <c r="U371" s="5"/>
      <c r="V371" s="5"/>
      <c r="W371" s="45"/>
      <c r="Y371" s="4"/>
    </row>
    <row r="372" spans="19:25" ht="15.75" customHeight="1" x14ac:dyDescent="0.45">
      <c r="S372" s="5"/>
      <c r="T372" s="5"/>
      <c r="U372" s="5"/>
      <c r="V372" s="5"/>
      <c r="W372" s="45"/>
      <c r="Y372" s="4"/>
    </row>
    <row r="373" spans="19:25" ht="15.75" customHeight="1" x14ac:dyDescent="0.45">
      <c r="S373" s="5"/>
      <c r="T373" s="5"/>
      <c r="U373" s="5"/>
      <c r="V373" s="5"/>
      <c r="W373" s="45"/>
      <c r="Y373" s="4"/>
    </row>
    <row r="374" spans="19:25" ht="15.75" customHeight="1" x14ac:dyDescent="0.45">
      <c r="S374" s="5"/>
      <c r="T374" s="5"/>
      <c r="U374" s="5"/>
      <c r="V374" s="5"/>
      <c r="W374" s="45"/>
      <c r="Y374" s="4"/>
    </row>
    <row r="375" spans="19:25" ht="15.75" customHeight="1" x14ac:dyDescent="0.45">
      <c r="S375" s="5"/>
      <c r="T375" s="5"/>
      <c r="U375" s="5"/>
      <c r="V375" s="5"/>
      <c r="W375" s="45"/>
      <c r="Y375" s="4"/>
    </row>
    <row r="376" spans="19:25" ht="15.75" customHeight="1" x14ac:dyDescent="0.45">
      <c r="S376" s="5"/>
      <c r="T376" s="5"/>
      <c r="U376" s="5"/>
      <c r="V376" s="5"/>
      <c r="W376" s="45"/>
      <c r="Y376" s="4"/>
    </row>
    <row r="377" spans="19:25" ht="15.75" customHeight="1" x14ac:dyDescent="0.45">
      <c r="S377" s="5"/>
      <c r="T377" s="5"/>
      <c r="U377" s="5"/>
      <c r="V377" s="5"/>
      <c r="W377" s="45"/>
      <c r="Y377" s="4"/>
    </row>
    <row r="378" spans="19:25" ht="15.75" customHeight="1" x14ac:dyDescent="0.45">
      <c r="S378" s="5"/>
      <c r="T378" s="5"/>
      <c r="U378" s="5"/>
      <c r="V378" s="5"/>
      <c r="W378" s="45"/>
      <c r="Y378" s="4"/>
    </row>
    <row r="379" spans="19:25" ht="15.75" customHeight="1" x14ac:dyDescent="0.45">
      <c r="S379" s="5"/>
      <c r="T379" s="5"/>
      <c r="U379" s="5"/>
      <c r="V379" s="5"/>
      <c r="W379" s="45"/>
      <c r="Y379" s="4"/>
    </row>
    <row r="380" spans="19:25" ht="15.75" customHeight="1" x14ac:dyDescent="0.45">
      <c r="S380" s="5"/>
      <c r="T380" s="5"/>
      <c r="U380" s="5"/>
      <c r="V380" s="5"/>
      <c r="W380" s="45"/>
      <c r="Y380" s="4"/>
    </row>
    <row r="381" spans="19:25" ht="15.75" customHeight="1" x14ac:dyDescent="0.45">
      <c r="S381" s="5"/>
      <c r="T381" s="5"/>
      <c r="U381" s="5"/>
      <c r="V381" s="5"/>
      <c r="W381" s="45"/>
      <c r="Y381" s="4"/>
    </row>
    <row r="382" spans="19:25" ht="15.75" customHeight="1" x14ac:dyDescent="0.45">
      <c r="S382" s="5"/>
      <c r="T382" s="5"/>
      <c r="U382" s="5"/>
      <c r="V382" s="5"/>
      <c r="W382" s="45"/>
      <c r="Y382" s="4"/>
    </row>
    <row r="383" spans="19:25" ht="15.75" customHeight="1" x14ac:dyDescent="0.45">
      <c r="S383" s="5"/>
      <c r="T383" s="5"/>
      <c r="U383" s="5"/>
      <c r="V383" s="5"/>
      <c r="W383" s="45"/>
      <c r="Y383" s="4"/>
    </row>
    <row r="384" spans="19:25" ht="15.75" customHeight="1" x14ac:dyDescent="0.45">
      <c r="S384" s="5"/>
      <c r="T384" s="5"/>
      <c r="U384" s="5"/>
      <c r="V384" s="5"/>
      <c r="W384" s="45"/>
      <c r="Y384" s="4"/>
    </row>
    <row r="385" spans="19:25" ht="15.75" customHeight="1" x14ac:dyDescent="0.45">
      <c r="S385" s="5"/>
      <c r="T385" s="5"/>
      <c r="U385" s="5"/>
      <c r="V385" s="5"/>
      <c r="W385" s="45"/>
      <c r="Y385" s="4"/>
    </row>
    <row r="386" spans="19:25" ht="15.75" customHeight="1" x14ac:dyDescent="0.45">
      <c r="S386" s="5"/>
      <c r="T386" s="5"/>
      <c r="U386" s="5"/>
      <c r="V386" s="5"/>
      <c r="W386" s="45"/>
      <c r="Y386" s="4"/>
    </row>
    <row r="387" spans="19:25" ht="15.75" customHeight="1" x14ac:dyDescent="0.45">
      <c r="S387" s="5"/>
      <c r="T387" s="5"/>
      <c r="U387" s="5"/>
      <c r="V387" s="5"/>
      <c r="W387" s="45"/>
      <c r="Y387" s="4"/>
    </row>
    <row r="388" spans="19:25" ht="15.75" customHeight="1" x14ac:dyDescent="0.45">
      <c r="S388" s="5"/>
      <c r="T388" s="5"/>
      <c r="U388" s="5"/>
      <c r="V388" s="5"/>
      <c r="W388" s="45"/>
      <c r="Y388" s="4"/>
    </row>
    <row r="389" spans="19:25" ht="15.75" customHeight="1" x14ac:dyDescent="0.45">
      <c r="S389" s="5"/>
      <c r="T389" s="5"/>
      <c r="U389" s="5"/>
      <c r="V389" s="5"/>
      <c r="W389" s="45"/>
      <c r="Y389" s="4"/>
    </row>
    <row r="390" spans="19:25" ht="15.75" customHeight="1" x14ac:dyDescent="0.45">
      <c r="S390" s="5"/>
      <c r="T390" s="5"/>
      <c r="U390" s="5"/>
      <c r="V390" s="5"/>
      <c r="W390" s="45"/>
      <c r="Y390" s="4"/>
    </row>
    <row r="391" spans="19:25" ht="15.75" customHeight="1" x14ac:dyDescent="0.45">
      <c r="S391" s="5"/>
      <c r="T391" s="5"/>
      <c r="U391" s="5"/>
      <c r="V391" s="5"/>
      <c r="W391" s="45"/>
      <c r="Y391" s="4"/>
    </row>
    <row r="392" spans="19:25" ht="15.75" customHeight="1" x14ac:dyDescent="0.45">
      <c r="S392" s="5"/>
      <c r="T392" s="5"/>
      <c r="U392" s="5"/>
      <c r="V392" s="5"/>
      <c r="W392" s="45"/>
      <c r="Y392" s="4"/>
    </row>
    <row r="393" spans="19:25" ht="15.75" customHeight="1" x14ac:dyDescent="0.45">
      <c r="S393" s="5"/>
      <c r="T393" s="5"/>
      <c r="U393" s="5"/>
      <c r="V393" s="5"/>
      <c r="W393" s="45"/>
      <c r="Y393" s="4"/>
    </row>
    <row r="394" spans="19:25" ht="15.75" customHeight="1" x14ac:dyDescent="0.45">
      <c r="S394" s="5"/>
      <c r="T394" s="5"/>
      <c r="U394" s="5"/>
      <c r="V394" s="5"/>
      <c r="W394" s="45"/>
      <c r="Y394" s="4"/>
    </row>
    <row r="395" spans="19:25" ht="15.75" customHeight="1" x14ac:dyDescent="0.45">
      <c r="S395" s="5"/>
      <c r="T395" s="5"/>
      <c r="U395" s="5"/>
      <c r="V395" s="5"/>
      <c r="W395" s="45"/>
      <c r="Y395" s="4"/>
    </row>
    <row r="396" spans="19:25" ht="15.75" customHeight="1" x14ac:dyDescent="0.45">
      <c r="S396" s="5"/>
      <c r="T396" s="5"/>
      <c r="U396" s="5"/>
      <c r="V396" s="5"/>
      <c r="W396" s="45"/>
      <c r="Y396" s="4"/>
    </row>
    <row r="397" spans="19:25" ht="15.75" customHeight="1" x14ac:dyDescent="0.45">
      <c r="S397" s="5"/>
      <c r="T397" s="5"/>
      <c r="U397" s="5"/>
      <c r="V397" s="5"/>
      <c r="W397" s="45"/>
      <c r="Y397" s="4"/>
    </row>
    <row r="398" spans="19:25" ht="15.75" customHeight="1" x14ac:dyDescent="0.45">
      <c r="S398" s="5"/>
      <c r="T398" s="5"/>
      <c r="U398" s="5"/>
      <c r="V398" s="5"/>
      <c r="W398" s="45"/>
      <c r="Y398" s="4"/>
    </row>
    <row r="399" spans="19:25" ht="15.75" customHeight="1" x14ac:dyDescent="0.45">
      <c r="S399" s="5"/>
      <c r="T399" s="5"/>
      <c r="U399" s="5"/>
      <c r="V399" s="5"/>
      <c r="W399" s="45"/>
      <c r="Y399" s="4"/>
    </row>
    <row r="400" spans="19:25" ht="15.75" customHeight="1" x14ac:dyDescent="0.45">
      <c r="S400" s="5"/>
      <c r="T400" s="5"/>
      <c r="U400" s="5"/>
      <c r="V400" s="5"/>
      <c r="W400" s="45"/>
      <c r="Y400" s="4"/>
    </row>
    <row r="401" spans="19:25" ht="15.75" customHeight="1" x14ac:dyDescent="0.45">
      <c r="S401" s="5"/>
      <c r="T401" s="5"/>
      <c r="U401" s="5"/>
      <c r="V401" s="5"/>
      <c r="W401" s="45"/>
      <c r="Y401" s="4"/>
    </row>
    <row r="402" spans="19:25" ht="15.75" customHeight="1" x14ac:dyDescent="0.45">
      <c r="S402" s="5"/>
      <c r="T402" s="5"/>
      <c r="U402" s="5"/>
      <c r="V402" s="5"/>
      <c r="W402" s="45"/>
      <c r="Y402" s="4"/>
    </row>
    <row r="403" spans="19:25" ht="15.75" customHeight="1" x14ac:dyDescent="0.45">
      <c r="S403" s="5"/>
      <c r="T403" s="5"/>
      <c r="U403" s="5"/>
      <c r="V403" s="5"/>
      <c r="W403" s="45"/>
      <c r="Y403" s="4"/>
    </row>
    <row r="404" spans="19:25" ht="15.75" customHeight="1" x14ac:dyDescent="0.45">
      <c r="S404" s="5"/>
      <c r="T404" s="5"/>
      <c r="U404" s="5"/>
      <c r="V404" s="5"/>
      <c r="W404" s="45"/>
      <c r="Y404" s="4"/>
    </row>
    <row r="405" spans="19:25" ht="15.75" customHeight="1" x14ac:dyDescent="0.45">
      <c r="S405" s="5"/>
      <c r="T405" s="5"/>
      <c r="U405" s="5"/>
      <c r="V405" s="5"/>
      <c r="W405" s="45"/>
      <c r="Y405" s="4"/>
    </row>
    <row r="406" spans="19:25" ht="15.75" customHeight="1" x14ac:dyDescent="0.45">
      <c r="S406" s="5"/>
      <c r="T406" s="5"/>
      <c r="U406" s="5"/>
      <c r="V406" s="5"/>
      <c r="W406" s="45"/>
      <c r="Y406" s="4"/>
    </row>
    <row r="407" spans="19:25" ht="15.75" customHeight="1" x14ac:dyDescent="0.45">
      <c r="S407" s="5"/>
      <c r="T407" s="5"/>
      <c r="U407" s="5"/>
      <c r="V407" s="5"/>
      <c r="W407" s="45"/>
      <c r="Y407" s="4"/>
    </row>
    <row r="408" spans="19:25" ht="15.75" customHeight="1" x14ac:dyDescent="0.45">
      <c r="S408" s="5"/>
      <c r="T408" s="5"/>
      <c r="U408" s="5"/>
      <c r="V408" s="5"/>
      <c r="W408" s="45"/>
      <c r="Y408" s="4"/>
    </row>
    <row r="409" spans="19:25" ht="15.75" customHeight="1" x14ac:dyDescent="0.45">
      <c r="S409" s="5"/>
      <c r="T409" s="5"/>
      <c r="U409" s="5"/>
      <c r="V409" s="5"/>
      <c r="W409" s="45"/>
      <c r="Y409" s="4"/>
    </row>
    <row r="410" spans="19:25" ht="15.75" customHeight="1" x14ac:dyDescent="0.45">
      <c r="S410" s="5"/>
      <c r="T410" s="5"/>
      <c r="U410" s="5"/>
      <c r="V410" s="5"/>
      <c r="W410" s="45"/>
      <c r="Y410" s="4"/>
    </row>
    <row r="411" spans="19:25" ht="15.75" customHeight="1" x14ac:dyDescent="0.45">
      <c r="S411" s="5"/>
      <c r="T411" s="5"/>
      <c r="U411" s="5"/>
      <c r="V411" s="5"/>
      <c r="W411" s="45"/>
      <c r="Y411" s="4"/>
    </row>
    <row r="412" spans="19:25" ht="15.75" customHeight="1" x14ac:dyDescent="0.45">
      <c r="S412" s="5"/>
      <c r="T412" s="5"/>
      <c r="U412" s="5"/>
      <c r="V412" s="5"/>
      <c r="W412" s="45"/>
      <c r="Y412" s="4"/>
    </row>
    <row r="413" spans="19:25" ht="15.75" customHeight="1" x14ac:dyDescent="0.45">
      <c r="S413" s="5"/>
      <c r="T413" s="5"/>
      <c r="U413" s="5"/>
      <c r="V413" s="5"/>
      <c r="W413" s="45"/>
      <c r="Y413" s="4"/>
    </row>
    <row r="414" spans="19:25" ht="15.75" customHeight="1" x14ac:dyDescent="0.45">
      <c r="S414" s="5"/>
      <c r="T414" s="5"/>
      <c r="U414" s="5"/>
      <c r="V414" s="5"/>
      <c r="W414" s="45"/>
      <c r="Y414" s="4"/>
    </row>
    <row r="415" spans="19:25" ht="15.75" customHeight="1" x14ac:dyDescent="0.45">
      <c r="S415" s="5"/>
      <c r="T415" s="5"/>
      <c r="U415" s="5"/>
      <c r="V415" s="5"/>
      <c r="W415" s="45"/>
      <c r="Y415" s="4"/>
    </row>
    <row r="416" spans="19:25" ht="15.75" customHeight="1" x14ac:dyDescent="0.45">
      <c r="S416" s="5"/>
      <c r="T416" s="5"/>
      <c r="U416" s="5"/>
      <c r="V416" s="5"/>
      <c r="W416" s="45"/>
      <c r="Y416" s="4"/>
    </row>
    <row r="417" spans="19:25" ht="15.75" customHeight="1" x14ac:dyDescent="0.45">
      <c r="S417" s="5"/>
      <c r="T417" s="5"/>
      <c r="U417" s="5"/>
      <c r="V417" s="5"/>
      <c r="W417" s="45"/>
      <c r="Y417" s="4"/>
    </row>
    <row r="418" spans="19:25" ht="15.75" customHeight="1" x14ac:dyDescent="0.45">
      <c r="S418" s="5"/>
      <c r="T418" s="5"/>
      <c r="U418" s="5"/>
      <c r="V418" s="5"/>
      <c r="W418" s="45"/>
      <c r="Y418" s="4"/>
    </row>
    <row r="419" spans="19:25" ht="15.75" customHeight="1" x14ac:dyDescent="0.45">
      <c r="S419" s="5"/>
      <c r="T419" s="5"/>
      <c r="U419" s="5"/>
      <c r="V419" s="5"/>
      <c r="W419" s="45"/>
      <c r="Y419" s="4"/>
    </row>
    <row r="420" spans="19:25" ht="15.75" customHeight="1" x14ac:dyDescent="0.45">
      <c r="S420" s="5"/>
      <c r="T420" s="5"/>
      <c r="U420" s="5"/>
      <c r="V420" s="5"/>
      <c r="W420" s="45"/>
      <c r="Y420" s="4"/>
    </row>
    <row r="421" spans="19:25" ht="15.75" customHeight="1" x14ac:dyDescent="0.45">
      <c r="S421" s="5"/>
      <c r="T421" s="5"/>
      <c r="U421" s="5"/>
      <c r="V421" s="5"/>
      <c r="W421" s="45"/>
      <c r="Y421" s="4"/>
    </row>
    <row r="422" spans="19:25" ht="15.75" customHeight="1" x14ac:dyDescent="0.45">
      <c r="S422" s="5"/>
      <c r="T422" s="5"/>
      <c r="U422" s="5"/>
      <c r="V422" s="5"/>
      <c r="W422" s="45"/>
      <c r="Y422" s="4"/>
    </row>
    <row r="423" spans="19:25" ht="15.75" customHeight="1" x14ac:dyDescent="0.45">
      <c r="S423" s="5"/>
      <c r="T423" s="5"/>
      <c r="U423" s="5"/>
      <c r="V423" s="5"/>
      <c r="W423" s="45"/>
      <c r="Y423" s="4"/>
    </row>
    <row r="424" spans="19:25" ht="15.75" customHeight="1" x14ac:dyDescent="0.45">
      <c r="S424" s="5"/>
      <c r="T424" s="5"/>
      <c r="U424" s="5"/>
      <c r="V424" s="5"/>
      <c r="W424" s="45"/>
      <c r="Y424" s="4"/>
    </row>
    <row r="425" spans="19:25" ht="15.75" customHeight="1" x14ac:dyDescent="0.45">
      <c r="S425" s="5"/>
      <c r="T425" s="5"/>
      <c r="U425" s="5"/>
      <c r="V425" s="5"/>
      <c r="W425" s="45"/>
      <c r="Y425" s="4"/>
    </row>
    <row r="426" spans="19:25" ht="15.75" customHeight="1" x14ac:dyDescent="0.45">
      <c r="S426" s="5"/>
      <c r="T426" s="5"/>
      <c r="U426" s="5"/>
      <c r="V426" s="5"/>
      <c r="W426" s="45"/>
      <c r="Y426" s="4"/>
    </row>
    <row r="427" spans="19:25" ht="15.75" customHeight="1" x14ac:dyDescent="0.45">
      <c r="S427" s="5"/>
      <c r="T427" s="5"/>
      <c r="U427" s="5"/>
      <c r="V427" s="5"/>
      <c r="W427" s="45"/>
      <c r="Y427" s="4"/>
    </row>
    <row r="428" spans="19:25" ht="15.75" customHeight="1" x14ac:dyDescent="0.45">
      <c r="S428" s="5"/>
      <c r="T428" s="5"/>
      <c r="U428" s="5"/>
      <c r="V428" s="5"/>
      <c r="W428" s="45"/>
      <c r="Y428" s="4"/>
    </row>
    <row r="429" spans="19:25" ht="15.75" customHeight="1" x14ac:dyDescent="0.45">
      <c r="S429" s="5"/>
      <c r="T429" s="5"/>
      <c r="U429" s="5"/>
      <c r="V429" s="5"/>
      <c r="W429" s="45"/>
      <c r="Y429" s="4"/>
    </row>
    <row r="430" spans="19:25" ht="15.75" customHeight="1" x14ac:dyDescent="0.45">
      <c r="S430" s="5"/>
      <c r="T430" s="5"/>
      <c r="U430" s="5"/>
      <c r="V430" s="5"/>
      <c r="W430" s="45"/>
      <c r="Y430" s="4"/>
    </row>
    <row r="431" spans="19:25" ht="15.75" customHeight="1" x14ac:dyDescent="0.45">
      <c r="S431" s="5"/>
      <c r="T431" s="5"/>
      <c r="U431" s="5"/>
      <c r="V431" s="5"/>
      <c r="W431" s="45"/>
      <c r="Y431" s="4"/>
    </row>
    <row r="432" spans="19:25" ht="15.75" customHeight="1" x14ac:dyDescent="0.45">
      <c r="S432" s="5"/>
      <c r="T432" s="5"/>
      <c r="U432" s="5"/>
      <c r="V432" s="5"/>
      <c r="W432" s="45"/>
      <c r="Y432" s="4"/>
    </row>
    <row r="433" spans="19:25" ht="15.75" customHeight="1" x14ac:dyDescent="0.45">
      <c r="S433" s="5"/>
      <c r="T433" s="5"/>
      <c r="U433" s="5"/>
      <c r="V433" s="5"/>
      <c r="W433" s="45"/>
      <c r="Y433" s="4"/>
    </row>
    <row r="434" spans="19:25" ht="15.75" customHeight="1" x14ac:dyDescent="0.45">
      <c r="S434" s="5"/>
      <c r="T434" s="5"/>
      <c r="U434" s="5"/>
      <c r="V434" s="5"/>
      <c r="W434" s="45"/>
      <c r="Y434" s="4"/>
    </row>
    <row r="435" spans="19:25" ht="15.75" customHeight="1" x14ac:dyDescent="0.45">
      <c r="S435" s="5"/>
      <c r="T435" s="5"/>
      <c r="U435" s="5"/>
      <c r="V435" s="5"/>
      <c r="W435" s="45"/>
      <c r="Y435" s="4"/>
    </row>
    <row r="436" spans="19:25" ht="15.75" customHeight="1" x14ac:dyDescent="0.45">
      <c r="S436" s="5"/>
      <c r="T436" s="5"/>
      <c r="U436" s="5"/>
      <c r="V436" s="5"/>
      <c r="W436" s="45"/>
      <c r="Y436" s="4"/>
    </row>
    <row r="437" spans="19:25" ht="15.75" customHeight="1" x14ac:dyDescent="0.45">
      <c r="S437" s="5"/>
      <c r="T437" s="5"/>
      <c r="U437" s="5"/>
      <c r="V437" s="5"/>
      <c r="W437" s="45"/>
      <c r="Y437" s="4"/>
    </row>
    <row r="438" spans="19:25" ht="15.75" customHeight="1" x14ac:dyDescent="0.45">
      <c r="S438" s="5"/>
      <c r="T438" s="5"/>
      <c r="U438" s="5"/>
      <c r="V438" s="5"/>
      <c r="W438" s="45"/>
      <c r="Y438" s="4"/>
    </row>
    <row r="439" spans="19:25" ht="15.75" customHeight="1" x14ac:dyDescent="0.45">
      <c r="S439" s="5"/>
      <c r="T439" s="5"/>
      <c r="U439" s="5"/>
      <c r="V439" s="5"/>
      <c r="W439" s="45"/>
      <c r="Y439" s="4"/>
    </row>
    <row r="440" spans="19:25" ht="15.75" customHeight="1" x14ac:dyDescent="0.45">
      <c r="S440" s="5"/>
      <c r="T440" s="5"/>
      <c r="U440" s="5"/>
      <c r="V440" s="5"/>
      <c r="W440" s="45"/>
      <c r="Y440" s="4"/>
    </row>
    <row r="441" spans="19:25" ht="15.75" customHeight="1" x14ac:dyDescent="0.45">
      <c r="S441" s="5"/>
      <c r="T441" s="5"/>
      <c r="U441" s="5"/>
      <c r="V441" s="5"/>
      <c r="W441" s="45"/>
      <c r="Y441" s="4"/>
    </row>
    <row r="442" spans="19:25" ht="15.75" customHeight="1" x14ac:dyDescent="0.45">
      <c r="S442" s="5"/>
      <c r="T442" s="5"/>
      <c r="U442" s="5"/>
      <c r="V442" s="5"/>
      <c r="W442" s="45"/>
      <c r="Y442" s="4"/>
    </row>
    <row r="443" spans="19:25" ht="15.75" customHeight="1" x14ac:dyDescent="0.45">
      <c r="S443" s="5"/>
      <c r="T443" s="5"/>
      <c r="U443" s="5"/>
      <c r="V443" s="5"/>
      <c r="W443" s="45"/>
      <c r="Y443" s="4"/>
    </row>
    <row r="444" spans="19:25" ht="15.75" customHeight="1" x14ac:dyDescent="0.45">
      <c r="S444" s="5"/>
      <c r="T444" s="5"/>
      <c r="U444" s="5"/>
      <c r="V444" s="5"/>
      <c r="W444" s="45"/>
      <c r="Y444" s="4"/>
    </row>
    <row r="445" spans="19:25" ht="15.75" customHeight="1" x14ac:dyDescent="0.45">
      <c r="S445" s="5"/>
      <c r="T445" s="5"/>
      <c r="U445" s="5"/>
      <c r="V445" s="5"/>
      <c r="W445" s="45"/>
      <c r="Y445" s="4"/>
    </row>
    <row r="446" spans="19:25" ht="15.75" customHeight="1" x14ac:dyDescent="0.45">
      <c r="S446" s="5"/>
      <c r="T446" s="5"/>
      <c r="U446" s="5"/>
      <c r="V446" s="5"/>
      <c r="W446" s="45"/>
      <c r="Y446" s="4"/>
    </row>
    <row r="447" spans="19:25" ht="15.75" customHeight="1" x14ac:dyDescent="0.45">
      <c r="S447" s="5"/>
      <c r="T447" s="5"/>
      <c r="U447" s="5"/>
      <c r="V447" s="5"/>
      <c r="W447" s="45"/>
      <c r="Y447" s="4"/>
    </row>
    <row r="448" spans="19:25" ht="15.75" customHeight="1" x14ac:dyDescent="0.45">
      <c r="S448" s="5"/>
      <c r="T448" s="5"/>
      <c r="U448" s="5"/>
      <c r="V448" s="5"/>
      <c r="W448" s="45"/>
      <c r="Y448" s="4"/>
    </row>
    <row r="449" spans="19:25" ht="15.75" customHeight="1" x14ac:dyDescent="0.45">
      <c r="S449" s="5"/>
      <c r="T449" s="5"/>
      <c r="U449" s="5"/>
      <c r="V449" s="5"/>
      <c r="W449" s="45"/>
      <c r="Y449" s="4"/>
    </row>
    <row r="450" spans="19:25" ht="15.75" customHeight="1" x14ac:dyDescent="0.45">
      <c r="S450" s="5"/>
      <c r="T450" s="5"/>
      <c r="U450" s="5"/>
      <c r="V450" s="5"/>
      <c r="W450" s="45"/>
      <c r="Y450" s="4"/>
    </row>
    <row r="451" spans="19:25" ht="15.75" customHeight="1" x14ac:dyDescent="0.45">
      <c r="S451" s="5"/>
      <c r="T451" s="5"/>
      <c r="U451" s="5"/>
      <c r="V451" s="5"/>
      <c r="W451" s="45"/>
      <c r="Y451" s="4"/>
    </row>
    <row r="452" spans="19:25" ht="15.75" customHeight="1" x14ac:dyDescent="0.45">
      <c r="S452" s="5"/>
      <c r="T452" s="5"/>
      <c r="U452" s="5"/>
      <c r="V452" s="5"/>
      <c r="W452" s="45"/>
      <c r="Y452" s="4"/>
    </row>
    <row r="453" spans="19:25" ht="15.75" customHeight="1" x14ac:dyDescent="0.45">
      <c r="S453" s="5"/>
      <c r="T453" s="5"/>
      <c r="U453" s="5"/>
      <c r="V453" s="5"/>
      <c r="W453" s="45"/>
      <c r="Y453" s="4"/>
    </row>
    <row r="454" spans="19:25" ht="15.75" customHeight="1" x14ac:dyDescent="0.45">
      <c r="S454" s="5"/>
      <c r="T454" s="5"/>
      <c r="U454" s="5"/>
      <c r="V454" s="5"/>
      <c r="W454" s="45"/>
      <c r="Y454" s="4"/>
    </row>
    <row r="455" spans="19:25" ht="15.75" customHeight="1" x14ac:dyDescent="0.45">
      <c r="S455" s="5"/>
      <c r="T455" s="5"/>
      <c r="U455" s="5"/>
      <c r="V455" s="5"/>
      <c r="W455" s="45"/>
      <c r="Y455" s="4"/>
    </row>
    <row r="456" spans="19:25" ht="15.75" customHeight="1" x14ac:dyDescent="0.45">
      <c r="S456" s="5"/>
      <c r="T456" s="5"/>
      <c r="U456" s="5"/>
      <c r="V456" s="5"/>
      <c r="W456" s="45"/>
      <c r="Y456" s="4"/>
    </row>
    <row r="457" spans="19:25" ht="15.75" customHeight="1" x14ac:dyDescent="0.45">
      <c r="S457" s="5"/>
      <c r="T457" s="5"/>
      <c r="U457" s="5"/>
      <c r="V457" s="5"/>
      <c r="W457" s="45"/>
      <c r="Y457" s="4"/>
    </row>
    <row r="458" spans="19:25" ht="15.75" customHeight="1" x14ac:dyDescent="0.45">
      <c r="S458" s="5"/>
      <c r="T458" s="5"/>
      <c r="U458" s="5"/>
      <c r="V458" s="5"/>
      <c r="W458" s="45"/>
      <c r="Y458" s="4"/>
    </row>
    <row r="459" spans="19:25" ht="15.75" customHeight="1" x14ac:dyDescent="0.45">
      <c r="S459" s="5"/>
      <c r="T459" s="5"/>
      <c r="U459" s="5"/>
      <c r="V459" s="5"/>
      <c r="W459" s="45"/>
      <c r="Y459" s="4"/>
    </row>
    <row r="460" spans="19:25" ht="15.75" customHeight="1" x14ac:dyDescent="0.45">
      <c r="S460" s="5"/>
      <c r="T460" s="5"/>
      <c r="U460" s="5"/>
      <c r="V460" s="5"/>
      <c r="W460" s="45"/>
      <c r="Y460" s="4"/>
    </row>
    <row r="461" spans="19:25" ht="15.75" customHeight="1" x14ac:dyDescent="0.45">
      <c r="S461" s="5"/>
      <c r="T461" s="5"/>
      <c r="U461" s="5"/>
      <c r="V461" s="5"/>
      <c r="W461" s="45"/>
      <c r="Y461" s="4"/>
    </row>
    <row r="462" spans="19:25" ht="15.75" customHeight="1" x14ac:dyDescent="0.45">
      <c r="S462" s="5"/>
      <c r="T462" s="5"/>
      <c r="U462" s="5"/>
      <c r="V462" s="5"/>
      <c r="W462" s="45"/>
      <c r="Y462" s="4"/>
    </row>
    <row r="463" spans="19:25" ht="15.75" customHeight="1" x14ac:dyDescent="0.45">
      <c r="S463" s="5"/>
      <c r="T463" s="5"/>
      <c r="U463" s="5"/>
      <c r="V463" s="5"/>
      <c r="W463" s="45"/>
      <c r="Y463" s="4"/>
    </row>
    <row r="464" spans="19:25" ht="15.75" customHeight="1" x14ac:dyDescent="0.45">
      <c r="S464" s="5"/>
      <c r="T464" s="5"/>
      <c r="U464" s="5"/>
      <c r="V464" s="5"/>
      <c r="W464" s="45"/>
      <c r="Y464" s="4"/>
    </row>
    <row r="465" spans="19:25" ht="15.75" customHeight="1" x14ac:dyDescent="0.45">
      <c r="S465" s="5"/>
      <c r="T465" s="5"/>
      <c r="U465" s="5"/>
      <c r="V465" s="5"/>
      <c r="W465" s="45"/>
      <c r="Y465" s="4"/>
    </row>
    <row r="466" spans="19:25" ht="15.75" customHeight="1" x14ac:dyDescent="0.45">
      <c r="S466" s="5"/>
      <c r="T466" s="5"/>
      <c r="U466" s="5"/>
      <c r="V466" s="5"/>
      <c r="W466" s="45"/>
      <c r="Y466" s="4"/>
    </row>
    <row r="467" spans="19:25" ht="15.75" customHeight="1" x14ac:dyDescent="0.45">
      <c r="S467" s="5"/>
      <c r="T467" s="5"/>
      <c r="U467" s="5"/>
      <c r="V467" s="5"/>
      <c r="W467" s="45"/>
      <c r="Y467" s="4"/>
    </row>
    <row r="468" spans="19:25" ht="15.75" customHeight="1" x14ac:dyDescent="0.45">
      <c r="S468" s="5"/>
      <c r="T468" s="5"/>
      <c r="U468" s="5"/>
      <c r="V468" s="5"/>
      <c r="W468" s="45"/>
      <c r="Y468" s="4"/>
    </row>
    <row r="469" spans="19:25" ht="15.75" customHeight="1" x14ac:dyDescent="0.45">
      <c r="S469" s="5"/>
      <c r="T469" s="5"/>
      <c r="U469" s="5"/>
      <c r="V469" s="5"/>
      <c r="W469" s="45"/>
      <c r="Y469" s="4"/>
    </row>
    <row r="470" spans="19:25" ht="15.75" customHeight="1" x14ac:dyDescent="0.45">
      <c r="S470" s="5"/>
      <c r="T470" s="5"/>
      <c r="U470" s="5"/>
      <c r="V470" s="5"/>
      <c r="W470" s="45"/>
      <c r="Y470" s="4"/>
    </row>
    <row r="471" spans="19:25" ht="15.75" customHeight="1" x14ac:dyDescent="0.45">
      <c r="S471" s="5"/>
      <c r="T471" s="5"/>
      <c r="U471" s="5"/>
      <c r="V471" s="5"/>
      <c r="W471" s="45"/>
      <c r="Y471" s="4"/>
    </row>
    <row r="472" spans="19:25" ht="15.75" customHeight="1" x14ac:dyDescent="0.45">
      <c r="S472" s="5"/>
      <c r="T472" s="5"/>
      <c r="U472" s="5"/>
      <c r="V472" s="5"/>
      <c r="W472" s="45"/>
      <c r="Y472" s="4"/>
    </row>
    <row r="473" spans="19:25" ht="15.75" customHeight="1" x14ac:dyDescent="0.45">
      <c r="S473" s="5"/>
      <c r="T473" s="5"/>
      <c r="U473" s="5"/>
      <c r="V473" s="5"/>
      <c r="W473" s="45"/>
      <c r="Y473" s="4"/>
    </row>
    <row r="474" spans="19:25" ht="15.75" customHeight="1" x14ac:dyDescent="0.45">
      <c r="S474" s="5"/>
      <c r="T474" s="5"/>
      <c r="U474" s="5"/>
      <c r="V474" s="5"/>
      <c r="W474" s="45"/>
      <c r="Y474" s="4"/>
    </row>
    <row r="475" spans="19:25" ht="15.75" customHeight="1" x14ac:dyDescent="0.45">
      <c r="S475" s="5"/>
      <c r="T475" s="5"/>
      <c r="U475" s="5"/>
      <c r="V475" s="5"/>
      <c r="W475" s="45"/>
      <c r="Y475" s="4"/>
    </row>
    <row r="476" spans="19:25" ht="15.75" customHeight="1" x14ac:dyDescent="0.45">
      <c r="S476" s="5"/>
      <c r="T476" s="5"/>
      <c r="U476" s="5"/>
      <c r="V476" s="5"/>
      <c r="W476" s="45"/>
      <c r="Y476" s="4"/>
    </row>
    <row r="477" spans="19:25" ht="15.75" customHeight="1" x14ac:dyDescent="0.45">
      <c r="S477" s="5"/>
      <c r="T477" s="5"/>
      <c r="U477" s="5"/>
      <c r="V477" s="5"/>
      <c r="W477" s="45"/>
      <c r="Y477" s="4"/>
    </row>
    <row r="478" spans="19:25" ht="15.75" customHeight="1" x14ac:dyDescent="0.45">
      <c r="S478" s="5"/>
      <c r="T478" s="5"/>
      <c r="U478" s="5"/>
      <c r="V478" s="5"/>
      <c r="W478" s="45"/>
      <c r="Y478" s="4"/>
    </row>
    <row r="479" spans="19:25" ht="15.75" customHeight="1" x14ac:dyDescent="0.45">
      <c r="S479" s="5"/>
      <c r="T479" s="5"/>
      <c r="U479" s="5"/>
      <c r="V479" s="5"/>
      <c r="W479" s="45"/>
      <c r="Y479" s="4"/>
    </row>
    <row r="480" spans="19:25" ht="15.75" customHeight="1" x14ac:dyDescent="0.45">
      <c r="S480" s="5"/>
      <c r="T480" s="5"/>
      <c r="U480" s="5"/>
      <c r="V480" s="5"/>
      <c r="W480" s="45"/>
      <c r="Y480" s="4"/>
    </row>
    <row r="481" spans="19:25" ht="15.75" customHeight="1" x14ac:dyDescent="0.45">
      <c r="S481" s="5"/>
      <c r="T481" s="5"/>
      <c r="U481" s="5"/>
      <c r="V481" s="5"/>
      <c r="W481" s="45"/>
      <c r="Y481" s="4"/>
    </row>
    <row r="482" spans="19:25" ht="15.75" customHeight="1" x14ac:dyDescent="0.45">
      <c r="S482" s="5"/>
      <c r="T482" s="5"/>
      <c r="U482" s="5"/>
      <c r="V482" s="5"/>
      <c r="W482" s="45"/>
      <c r="Y482" s="4"/>
    </row>
    <row r="483" spans="19:25" ht="15.75" customHeight="1" x14ac:dyDescent="0.45">
      <c r="S483" s="5"/>
      <c r="T483" s="5"/>
      <c r="U483" s="5"/>
      <c r="V483" s="5"/>
      <c r="W483" s="45"/>
      <c r="Y483" s="4"/>
    </row>
    <row r="484" spans="19:25" ht="15.75" customHeight="1" x14ac:dyDescent="0.45">
      <c r="S484" s="5"/>
      <c r="T484" s="5"/>
      <c r="U484" s="5"/>
      <c r="V484" s="5"/>
      <c r="W484" s="45"/>
      <c r="Y484" s="4"/>
    </row>
    <row r="485" spans="19:25" ht="15.75" customHeight="1" x14ac:dyDescent="0.45">
      <c r="S485" s="5"/>
      <c r="T485" s="5"/>
      <c r="U485" s="5"/>
      <c r="V485" s="5"/>
      <c r="W485" s="45"/>
      <c r="Y485" s="4"/>
    </row>
    <row r="486" spans="19:25" ht="15.75" customHeight="1" x14ac:dyDescent="0.45">
      <c r="S486" s="5"/>
      <c r="T486" s="5"/>
      <c r="U486" s="5"/>
      <c r="V486" s="5"/>
      <c r="W486" s="45"/>
      <c r="Y486" s="4"/>
    </row>
    <row r="487" spans="19:25" ht="15.75" customHeight="1" x14ac:dyDescent="0.45">
      <c r="S487" s="5"/>
      <c r="T487" s="5"/>
      <c r="U487" s="5"/>
      <c r="V487" s="5"/>
      <c r="W487" s="45"/>
      <c r="Y487" s="4"/>
    </row>
    <row r="488" spans="19:25" ht="15.75" customHeight="1" x14ac:dyDescent="0.45">
      <c r="S488" s="5"/>
      <c r="T488" s="5"/>
      <c r="U488" s="5"/>
      <c r="V488" s="5"/>
      <c r="W488" s="45"/>
      <c r="Y488" s="4"/>
    </row>
    <row r="489" spans="19:25" ht="15.75" customHeight="1" x14ac:dyDescent="0.45">
      <c r="S489" s="5"/>
      <c r="T489" s="5"/>
      <c r="U489" s="5"/>
      <c r="V489" s="5"/>
      <c r="W489" s="45"/>
      <c r="Y489" s="4"/>
    </row>
    <row r="490" spans="19:25" ht="15.75" customHeight="1" x14ac:dyDescent="0.45">
      <c r="S490" s="5"/>
      <c r="T490" s="5"/>
      <c r="U490" s="5"/>
      <c r="V490" s="5"/>
      <c r="W490" s="45"/>
      <c r="Y490" s="4"/>
    </row>
    <row r="491" spans="19:25" ht="15.75" customHeight="1" x14ac:dyDescent="0.45">
      <c r="S491" s="5"/>
      <c r="T491" s="5"/>
      <c r="U491" s="5"/>
      <c r="V491" s="5"/>
      <c r="W491" s="45"/>
      <c r="Y491" s="4"/>
    </row>
    <row r="492" spans="19:25" ht="15.75" customHeight="1" x14ac:dyDescent="0.45">
      <c r="S492" s="5"/>
      <c r="T492" s="5"/>
      <c r="U492" s="5"/>
      <c r="V492" s="5"/>
      <c r="W492" s="45"/>
      <c r="Y492" s="4"/>
    </row>
    <row r="493" spans="19:25" ht="15.75" customHeight="1" x14ac:dyDescent="0.45">
      <c r="S493" s="5"/>
      <c r="T493" s="5"/>
      <c r="U493" s="5"/>
      <c r="V493" s="5"/>
      <c r="W493" s="45"/>
      <c r="Y493" s="4"/>
    </row>
    <row r="494" spans="19:25" ht="15.75" customHeight="1" x14ac:dyDescent="0.45">
      <c r="S494" s="5"/>
      <c r="T494" s="5"/>
      <c r="U494" s="5"/>
      <c r="V494" s="5"/>
      <c r="W494" s="45"/>
      <c r="Y494" s="4"/>
    </row>
    <row r="495" spans="19:25" ht="15.75" customHeight="1" x14ac:dyDescent="0.45">
      <c r="S495" s="5"/>
      <c r="T495" s="5"/>
      <c r="U495" s="5"/>
      <c r="V495" s="5"/>
      <c r="W495" s="45"/>
      <c r="Y495" s="4"/>
    </row>
    <row r="496" spans="19:25" ht="15.75" customHeight="1" x14ac:dyDescent="0.45">
      <c r="S496" s="5"/>
      <c r="T496" s="5"/>
      <c r="U496" s="5"/>
      <c r="V496" s="5"/>
      <c r="W496" s="45"/>
      <c r="Y496" s="4"/>
    </row>
    <row r="497" spans="19:25" ht="15.75" customHeight="1" x14ac:dyDescent="0.45">
      <c r="S497" s="5"/>
      <c r="T497" s="5"/>
      <c r="U497" s="5"/>
      <c r="V497" s="5"/>
      <c r="W497" s="45"/>
      <c r="Y497" s="4"/>
    </row>
    <row r="498" spans="19:25" ht="15.75" customHeight="1" x14ac:dyDescent="0.45">
      <c r="S498" s="5"/>
      <c r="T498" s="5"/>
      <c r="U498" s="5"/>
      <c r="V498" s="5"/>
      <c r="W498" s="45"/>
      <c r="Y498" s="4"/>
    </row>
    <row r="499" spans="19:25" ht="15.75" customHeight="1" x14ac:dyDescent="0.45">
      <c r="S499" s="5"/>
      <c r="T499" s="5"/>
      <c r="U499" s="5"/>
      <c r="V499" s="5"/>
      <c r="W499" s="45"/>
      <c r="Y499" s="4"/>
    </row>
    <row r="500" spans="19:25" ht="15.75" customHeight="1" x14ac:dyDescent="0.45">
      <c r="S500" s="5"/>
      <c r="T500" s="5"/>
      <c r="U500" s="5"/>
      <c r="V500" s="5"/>
      <c r="W500" s="45"/>
      <c r="Y500" s="4"/>
    </row>
    <row r="501" spans="19:25" ht="15.75" customHeight="1" x14ac:dyDescent="0.45">
      <c r="S501" s="5"/>
      <c r="T501" s="5"/>
      <c r="U501" s="5"/>
      <c r="V501" s="5"/>
      <c r="W501" s="45"/>
      <c r="Y501" s="4"/>
    </row>
    <row r="502" spans="19:25" ht="15.75" customHeight="1" x14ac:dyDescent="0.45">
      <c r="S502" s="5"/>
      <c r="T502" s="5"/>
      <c r="U502" s="5"/>
      <c r="V502" s="5"/>
      <c r="W502" s="45"/>
      <c r="Y502" s="4"/>
    </row>
    <row r="503" spans="19:25" ht="15.75" customHeight="1" x14ac:dyDescent="0.45">
      <c r="S503" s="5"/>
      <c r="T503" s="5"/>
      <c r="U503" s="5"/>
      <c r="V503" s="5"/>
      <c r="W503" s="45"/>
      <c r="Y503" s="4"/>
    </row>
    <row r="504" spans="19:25" ht="15.75" customHeight="1" x14ac:dyDescent="0.45">
      <c r="S504" s="5"/>
      <c r="T504" s="5"/>
      <c r="U504" s="5"/>
      <c r="V504" s="5"/>
      <c r="W504" s="45"/>
      <c r="Y504" s="4"/>
    </row>
    <row r="505" spans="19:25" ht="15.75" customHeight="1" x14ac:dyDescent="0.45">
      <c r="S505" s="5"/>
      <c r="T505" s="5"/>
      <c r="U505" s="5"/>
      <c r="V505" s="5"/>
      <c r="W505" s="45"/>
      <c r="Y505" s="4"/>
    </row>
    <row r="506" spans="19:25" ht="15.75" customHeight="1" x14ac:dyDescent="0.45">
      <c r="S506" s="5"/>
      <c r="T506" s="5"/>
      <c r="U506" s="5"/>
      <c r="V506" s="5"/>
      <c r="W506" s="45"/>
      <c r="Y506" s="4"/>
    </row>
    <row r="507" spans="19:25" ht="15.75" customHeight="1" x14ac:dyDescent="0.45">
      <c r="S507" s="5"/>
      <c r="T507" s="5"/>
      <c r="U507" s="5"/>
      <c r="V507" s="5"/>
      <c r="W507" s="45"/>
      <c r="Y507" s="4"/>
    </row>
    <row r="508" spans="19:25" ht="15.75" customHeight="1" x14ac:dyDescent="0.45">
      <c r="S508" s="5"/>
      <c r="T508" s="5"/>
      <c r="U508" s="5"/>
      <c r="V508" s="5"/>
      <c r="W508" s="45"/>
      <c r="Y508" s="4"/>
    </row>
    <row r="509" spans="19:25" ht="15.75" customHeight="1" x14ac:dyDescent="0.45">
      <c r="S509" s="5"/>
      <c r="T509" s="5"/>
      <c r="U509" s="5"/>
      <c r="V509" s="5"/>
      <c r="W509" s="45"/>
      <c r="Y509" s="4"/>
    </row>
    <row r="510" spans="19:25" ht="15.75" customHeight="1" x14ac:dyDescent="0.45">
      <c r="S510" s="5"/>
      <c r="T510" s="5"/>
      <c r="U510" s="5"/>
      <c r="V510" s="5"/>
      <c r="W510" s="45"/>
      <c r="Y510" s="4"/>
    </row>
    <row r="511" spans="19:25" ht="15.75" customHeight="1" x14ac:dyDescent="0.45">
      <c r="S511" s="5"/>
      <c r="T511" s="5"/>
      <c r="U511" s="5"/>
      <c r="V511" s="5"/>
      <c r="W511" s="45"/>
      <c r="Y511" s="4"/>
    </row>
    <row r="512" spans="19:25" ht="15.75" customHeight="1" x14ac:dyDescent="0.45">
      <c r="S512" s="5"/>
      <c r="T512" s="5"/>
      <c r="U512" s="5"/>
      <c r="V512" s="5"/>
      <c r="W512" s="45"/>
      <c r="Y512" s="4"/>
    </row>
    <row r="513" spans="19:25" ht="15.75" customHeight="1" x14ac:dyDescent="0.45">
      <c r="S513" s="5"/>
      <c r="T513" s="5"/>
      <c r="U513" s="5"/>
      <c r="V513" s="5"/>
      <c r="W513" s="45"/>
      <c r="Y513" s="4"/>
    </row>
    <row r="514" spans="19:25" ht="15.75" customHeight="1" x14ac:dyDescent="0.45">
      <c r="S514" s="5"/>
      <c r="T514" s="5"/>
      <c r="U514" s="5"/>
      <c r="V514" s="5"/>
      <c r="W514" s="45"/>
      <c r="Y514" s="4"/>
    </row>
    <row r="515" spans="19:25" ht="15.75" customHeight="1" x14ac:dyDescent="0.45">
      <c r="S515" s="5"/>
      <c r="T515" s="5"/>
      <c r="U515" s="5"/>
      <c r="V515" s="5"/>
      <c r="W515" s="45"/>
      <c r="Y515" s="4"/>
    </row>
    <row r="516" spans="19:25" ht="15.75" customHeight="1" x14ac:dyDescent="0.45">
      <c r="S516" s="5"/>
      <c r="T516" s="5"/>
      <c r="U516" s="5"/>
      <c r="V516" s="5"/>
      <c r="W516" s="45"/>
      <c r="Y516" s="4"/>
    </row>
    <row r="517" spans="19:25" ht="15.75" customHeight="1" x14ac:dyDescent="0.45">
      <c r="S517" s="5"/>
      <c r="T517" s="5"/>
      <c r="U517" s="5"/>
      <c r="V517" s="5"/>
      <c r="W517" s="45"/>
      <c r="Y517" s="4"/>
    </row>
    <row r="518" spans="19:25" ht="15.75" customHeight="1" x14ac:dyDescent="0.45">
      <c r="S518" s="5"/>
      <c r="T518" s="5"/>
      <c r="U518" s="5"/>
      <c r="V518" s="5"/>
      <c r="W518" s="45"/>
      <c r="Y518" s="4"/>
    </row>
    <row r="519" spans="19:25" ht="15.75" customHeight="1" x14ac:dyDescent="0.45">
      <c r="S519" s="5"/>
      <c r="T519" s="5"/>
      <c r="U519" s="5"/>
      <c r="V519" s="5"/>
      <c r="W519" s="45"/>
      <c r="Y519" s="4"/>
    </row>
    <row r="520" spans="19:25" ht="15.75" customHeight="1" x14ac:dyDescent="0.45">
      <c r="S520" s="5"/>
      <c r="T520" s="5"/>
      <c r="U520" s="5"/>
      <c r="V520" s="5"/>
      <c r="W520" s="45"/>
      <c r="Y520" s="4"/>
    </row>
    <row r="521" spans="19:25" ht="15.75" customHeight="1" x14ac:dyDescent="0.45">
      <c r="S521" s="5"/>
      <c r="T521" s="5"/>
      <c r="U521" s="5"/>
      <c r="V521" s="5"/>
      <c r="W521" s="45"/>
      <c r="Y521" s="4"/>
    </row>
    <row r="522" spans="19:25" ht="15.75" customHeight="1" x14ac:dyDescent="0.45">
      <c r="S522" s="5"/>
      <c r="T522" s="5"/>
      <c r="U522" s="5"/>
      <c r="V522" s="5"/>
      <c r="W522" s="45"/>
      <c r="Y522" s="4"/>
    </row>
    <row r="523" spans="19:25" ht="15.75" customHeight="1" x14ac:dyDescent="0.45">
      <c r="S523" s="5"/>
      <c r="T523" s="5"/>
      <c r="U523" s="5"/>
      <c r="V523" s="5"/>
      <c r="W523" s="45"/>
      <c r="Y523" s="4"/>
    </row>
    <row r="524" spans="19:25" ht="15.75" customHeight="1" x14ac:dyDescent="0.45">
      <c r="S524" s="5"/>
      <c r="T524" s="5"/>
      <c r="U524" s="5"/>
      <c r="V524" s="5"/>
      <c r="W524" s="45"/>
      <c r="Y524" s="4"/>
    </row>
    <row r="525" spans="19:25" ht="15.75" customHeight="1" x14ac:dyDescent="0.45">
      <c r="S525" s="5"/>
      <c r="T525" s="5"/>
      <c r="U525" s="5"/>
      <c r="V525" s="5"/>
      <c r="W525" s="45"/>
      <c r="Y525" s="4"/>
    </row>
    <row r="526" spans="19:25" ht="15.75" customHeight="1" x14ac:dyDescent="0.45">
      <c r="S526" s="5"/>
      <c r="T526" s="5"/>
      <c r="U526" s="5"/>
      <c r="V526" s="5"/>
      <c r="W526" s="45"/>
      <c r="Y526" s="4"/>
    </row>
    <row r="527" spans="19:25" ht="15.75" customHeight="1" x14ac:dyDescent="0.45">
      <c r="S527" s="5"/>
      <c r="T527" s="5"/>
      <c r="U527" s="5"/>
      <c r="V527" s="5"/>
      <c r="W527" s="45"/>
      <c r="Y527" s="4"/>
    </row>
    <row r="528" spans="19:25" ht="15.75" customHeight="1" x14ac:dyDescent="0.45">
      <c r="S528" s="5"/>
      <c r="T528" s="5"/>
      <c r="U528" s="5"/>
      <c r="V528" s="5"/>
      <c r="W528" s="45"/>
      <c r="Y528" s="4"/>
    </row>
    <row r="529" spans="19:25" ht="15.75" customHeight="1" x14ac:dyDescent="0.45">
      <c r="S529" s="5"/>
      <c r="T529" s="5"/>
      <c r="U529" s="5"/>
      <c r="V529" s="5"/>
      <c r="W529" s="45"/>
      <c r="Y529" s="4"/>
    </row>
    <row r="530" spans="19:25" ht="15.75" customHeight="1" x14ac:dyDescent="0.45">
      <c r="S530" s="5"/>
      <c r="T530" s="5"/>
      <c r="U530" s="5"/>
      <c r="V530" s="5"/>
      <c r="W530" s="45"/>
      <c r="Y530" s="4"/>
    </row>
    <row r="531" spans="19:25" ht="15.75" customHeight="1" x14ac:dyDescent="0.45">
      <c r="S531" s="5"/>
      <c r="T531" s="5"/>
      <c r="U531" s="5"/>
      <c r="V531" s="5"/>
      <c r="W531" s="45"/>
      <c r="Y531" s="4"/>
    </row>
    <row r="532" spans="19:25" ht="15.75" customHeight="1" x14ac:dyDescent="0.45">
      <c r="S532" s="5"/>
      <c r="T532" s="5"/>
      <c r="U532" s="5"/>
      <c r="V532" s="5"/>
      <c r="W532" s="45"/>
      <c r="Y532" s="4"/>
    </row>
    <row r="533" spans="19:25" ht="15.75" customHeight="1" x14ac:dyDescent="0.45">
      <c r="S533" s="5"/>
      <c r="T533" s="5"/>
      <c r="U533" s="5"/>
      <c r="V533" s="5"/>
      <c r="W533" s="45"/>
      <c r="Y533" s="4"/>
    </row>
    <row r="534" spans="19:25" ht="15.75" customHeight="1" x14ac:dyDescent="0.45">
      <c r="S534" s="5"/>
      <c r="T534" s="5"/>
      <c r="U534" s="5"/>
      <c r="V534" s="5"/>
      <c r="W534" s="45"/>
      <c r="Y534" s="4"/>
    </row>
    <row r="535" spans="19:25" ht="15.75" customHeight="1" x14ac:dyDescent="0.45">
      <c r="S535" s="5"/>
      <c r="T535" s="5"/>
      <c r="U535" s="5"/>
      <c r="V535" s="5"/>
      <c r="W535" s="45"/>
      <c r="Y535" s="4"/>
    </row>
    <row r="536" spans="19:25" ht="15.75" customHeight="1" x14ac:dyDescent="0.45">
      <c r="S536" s="5"/>
      <c r="T536" s="5"/>
      <c r="U536" s="5"/>
      <c r="V536" s="5"/>
      <c r="W536" s="45"/>
      <c r="Y536" s="4"/>
    </row>
    <row r="537" spans="19:25" ht="15.75" customHeight="1" x14ac:dyDescent="0.45">
      <c r="S537" s="5"/>
      <c r="T537" s="5"/>
      <c r="U537" s="5"/>
      <c r="V537" s="5"/>
      <c r="W537" s="45"/>
      <c r="Y537" s="4"/>
    </row>
    <row r="538" spans="19:25" ht="15.75" customHeight="1" x14ac:dyDescent="0.45">
      <c r="S538" s="5"/>
      <c r="T538" s="5"/>
      <c r="U538" s="5"/>
      <c r="V538" s="5"/>
      <c r="W538" s="45"/>
      <c r="Y538" s="4"/>
    </row>
    <row r="539" spans="19:25" ht="15.75" customHeight="1" x14ac:dyDescent="0.45">
      <c r="S539" s="5"/>
      <c r="T539" s="5"/>
      <c r="U539" s="5"/>
      <c r="V539" s="5"/>
      <c r="W539" s="45"/>
      <c r="Y539" s="4"/>
    </row>
    <row r="540" spans="19:25" ht="15.75" customHeight="1" x14ac:dyDescent="0.45">
      <c r="S540" s="5"/>
      <c r="T540" s="5"/>
      <c r="U540" s="5"/>
      <c r="V540" s="5"/>
      <c r="W540" s="45"/>
      <c r="Y540" s="4"/>
    </row>
    <row r="541" spans="19:25" ht="15.75" customHeight="1" x14ac:dyDescent="0.45">
      <c r="S541" s="5"/>
      <c r="T541" s="5"/>
      <c r="U541" s="5"/>
      <c r="V541" s="5"/>
      <c r="W541" s="45"/>
      <c r="Y541" s="4"/>
    </row>
    <row r="542" spans="19:25" ht="15.75" customHeight="1" x14ac:dyDescent="0.45">
      <c r="S542" s="5"/>
      <c r="T542" s="5"/>
      <c r="U542" s="5"/>
      <c r="V542" s="5"/>
      <c r="W542" s="45"/>
      <c r="Y542" s="4"/>
    </row>
    <row r="543" spans="19:25" ht="15.75" customHeight="1" x14ac:dyDescent="0.45">
      <c r="S543" s="5"/>
      <c r="T543" s="5"/>
      <c r="U543" s="5"/>
      <c r="V543" s="5"/>
      <c r="W543" s="45"/>
      <c r="Y543" s="4"/>
    </row>
    <row r="544" spans="19:25" ht="15.75" customHeight="1" x14ac:dyDescent="0.45">
      <c r="S544" s="5"/>
      <c r="T544" s="5"/>
      <c r="U544" s="5"/>
      <c r="V544" s="5"/>
      <c r="W544" s="45"/>
      <c r="Y544" s="4"/>
    </row>
    <row r="545" spans="19:25" ht="15.75" customHeight="1" x14ac:dyDescent="0.45">
      <c r="S545" s="5"/>
      <c r="T545" s="5"/>
      <c r="U545" s="5"/>
      <c r="V545" s="5"/>
      <c r="W545" s="45"/>
      <c r="Y545" s="4"/>
    </row>
    <row r="546" spans="19:25" ht="15.75" customHeight="1" x14ac:dyDescent="0.45">
      <c r="S546" s="5"/>
      <c r="T546" s="5"/>
      <c r="U546" s="5"/>
      <c r="V546" s="5"/>
      <c r="W546" s="45"/>
      <c r="Y546" s="4"/>
    </row>
    <row r="547" spans="19:25" ht="15.75" customHeight="1" x14ac:dyDescent="0.45">
      <c r="S547" s="5"/>
      <c r="T547" s="5"/>
      <c r="U547" s="5"/>
      <c r="V547" s="5"/>
      <c r="W547" s="45"/>
      <c r="Y547" s="4"/>
    </row>
    <row r="548" spans="19:25" ht="15.75" customHeight="1" x14ac:dyDescent="0.45">
      <c r="S548" s="5"/>
      <c r="T548" s="5"/>
      <c r="U548" s="5"/>
      <c r="V548" s="5"/>
      <c r="W548" s="45"/>
      <c r="Y548" s="4"/>
    </row>
    <row r="549" spans="19:25" ht="15.75" customHeight="1" x14ac:dyDescent="0.45">
      <c r="S549" s="5"/>
      <c r="T549" s="5"/>
      <c r="U549" s="5"/>
      <c r="V549" s="5"/>
      <c r="W549" s="45"/>
      <c r="Y549" s="4"/>
    </row>
    <row r="550" spans="19:25" ht="15.75" customHeight="1" x14ac:dyDescent="0.45">
      <c r="S550" s="5"/>
      <c r="T550" s="5"/>
      <c r="U550" s="5"/>
      <c r="V550" s="5"/>
      <c r="W550" s="45"/>
      <c r="Y550" s="4"/>
    </row>
    <row r="551" spans="19:25" ht="15.75" customHeight="1" x14ac:dyDescent="0.45">
      <c r="S551" s="5"/>
      <c r="T551" s="5"/>
      <c r="U551" s="5"/>
      <c r="V551" s="5"/>
      <c r="W551" s="45"/>
      <c r="Y551" s="4"/>
    </row>
    <row r="552" spans="19:25" ht="15.75" customHeight="1" x14ac:dyDescent="0.45">
      <c r="S552" s="5"/>
      <c r="T552" s="5"/>
      <c r="U552" s="5"/>
      <c r="V552" s="5"/>
      <c r="W552" s="45"/>
      <c r="Y552" s="4"/>
    </row>
    <row r="553" spans="19:25" ht="15.75" customHeight="1" x14ac:dyDescent="0.45">
      <c r="S553" s="5"/>
      <c r="T553" s="5"/>
      <c r="U553" s="5"/>
      <c r="V553" s="5"/>
      <c r="W553" s="45"/>
      <c r="Y553" s="4"/>
    </row>
    <row r="554" spans="19:25" ht="15.75" customHeight="1" x14ac:dyDescent="0.45">
      <c r="S554" s="5"/>
      <c r="T554" s="5"/>
      <c r="U554" s="5"/>
      <c r="V554" s="5"/>
      <c r="W554" s="45"/>
      <c r="Y554" s="4"/>
    </row>
    <row r="555" spans="19:25" ht="15.75" customHeight="1" x14ac:dyDescent="0.45">
      <c r="S555" s="5"/>
      <c r="T555" s="5"/>
      <c r="U555" s="5"/>
      <c r="V555" s="5"/>
      <c r="W555" s="45"/>
      <c r="Y555" s="4"/>
    </row>
    <row r="556" spans="19:25" ht="15.75" customHeight="1" x14ac:dyDescent="0.45">
      <c r="S556" s="5"/>
      <c r="T556" s="5"/>
      <c r="U556" s="5"/>
      <c r="V556" s="5"/>
      <c r="W556" s="45"/>
      <c r="Y556" s="4"/>
    </row>
    <row r="557" spans="19:25" ht="15.75" customHeight="1" x14ac:dyDescent="0.45">
      <c r="S557" s="5"/>
      <c r="T557" s="5"/>
      <c r="U557" s="5"/>
      <c r="V557" s="5"/>
      <c r="W557" s="45"/>
      <c r="Y557" s="4"/>
    </row>
    <row r="558" spans="19:25" ht="15.75" customHeight="1" x14ac:dyDescent="0.45">
      <c r="S558" s="5"/>
      <c r="T558" s="5"/>
      <c r="U558" s="5"/>
      <c r="V558" s="5"/>
      <c r="W558" s="45"/>
      <c r="Y558" s="4"/>
    </row>
    <row r="559" spans="19:25" ht="15.75" customHeight="1" x14ac:dyDescent="0.45">
      <c r="S559" s="5"/>
      <c r="T559" s="5"/>
      <c r="U559" s="5"/>
      <c r="V559" s="5"/>
      <c r="W559" s="45"/>
      <c r="Y559" s="4"/>
    </row>
    <row r="560" spans="19:25" ht="15.75" customHeight="1" x14ac:dyDescent="0.45">
      <c r="S560" s="5"/>
      <c r="T560" s="5"/>
      <c r="U560" s="5"/>
      <c r="V560" s="5"/>
      <c r="W560" s="45"/>
      <c r="Y560" s="4"/>
    </row>
    <row r="561" spans="19:25" ht="15.75" customHeight="1" x14ac:dyDescent="0.45">
      <c r="S561" s="5"/>
      <c r="T561" s="5"/>
      <c r="U561" s="5"/>
      <c r="V561" s="5"/>
      <c r="W561" s="45"/>
      <c r="Y561" s="4"/>
    </row>
    <row r="562" spans="19:25" ht="15.75" customHeight="1" x14ac:dyDescent="0.45">
      <c r="S562" s="5"/>
      <c r="T562" s="5"/>
      <c r="U562" s="5"/>
      <c r="V562" s="5"/>
      <c r="W562" s="45"/>
      <c r="Y562" s="4"/>
    </row>
    <row r="563" spans="19:25" ht="15.75" customHeight="1" x14ac:dyDescent="0.45">
      <c r="S563" s="5"/>
      <c r="T563" s="5"/>
      <c r="U563" s="5"/>
      <c r="V563" s="5"/>
      <c r="W563" s="45"/>
      <c r="Y563" s="4"/>
    </row>
    <row r="564" spans="19:25" ht="15.75" customHeight="1" x14ac:dyDescent="0.45">
      <c r="S564" s="5"/>
      <c r="T564" s="5"/>
      <c r="U564" s="5"/>
      <c r="V564" s="5"/>
      <c r="W564" s="45"/>
      <c r="Y564" s="4"/>
    </row>
    <row r="565" spans="19:25" ht="15.75" customHeight="1" x14ac:dyDescent="0.45">
      <c r="S565" s="5"/>
      <c r="T565" s="5"/>
      <c r="U565" s="5"/>
      <c r="V565" s="5"/>
      <c r="W565" s="45"/>
      <c r="Y565" s="4"/>
    </row>
    <row r="566" spans="19:25" ht="15.75" customHeight="1" x14ac:dyDescent="0.45">
      <c r="S566" s="5"/>
      <c r="T566" s="5"/>
      <c r="U566" s="5"/>
      <c r="V566" s="5"/>
      <c r="W566" s="45"/>
      <c r="Y566" s="4"/>
    </row>
    <row r="567" spans="19:25" ht="15.75" customHeight="1" x14ac:dyDescent="0.45">
      <c r="S567" s="5"/>
      <c r="T567" s="5"/>
      <c r="U567" s="5"/>
      <c r="V567" s="5"/>
      <c r="W567" s="45"/>
      <c r="Y567" s="4"/>
    </row>
    <row r="568" spans="19:25" ht="15.75" customHeight="1" x14ac:dyDescent="0.45">
      <c r="S568" s="5"/>
      <c r="T568" s="5"/>
      <c r="U568" s="5"/>
      <c r="V568" s="5"/>
      <c r="W568" s="45"/>
      <c r="Y568" s="4"/>
    </row>
    <row r="569" spans="19:25" ht="15.75" customHeight="1" x14ac:dyDescent="0.45">
      <c r="S569" s="5"/>
      <c r="T569" s="5"/>
      <c r="U569" s="5"/>
      <c r="V569" s="5"/>
      <c r="W569" s="45"/>
      <c r="Y569" s="4"/>
    </row>
    <row r="570" spans="19:25" ht="15.75" customHeight="1" x14ac:dyDescent="0.45">
      <c r="S570" s="5"/>
      <c r="T570" s="5"/>
      <c r="U570" s="5"/>
      <c r="V570" s="5"/>
      <c r="W570" s="45"/>
      <c r="Y570" s="4"/>
    </row>
    <row r="571" spans="19:25" ht="15.75" customHeight="1" x14ac:dyDescent="0.45">
      <c r="S571" s="5"/>
      <c r="T571" s="5"/>
      <c r="U571" s="5"/>
      <c r="V571" s="5"/>
      <c r="W571" s="45"/>
      <c r="Y571" s="4"/>
    </row>
    <row r="572" spans="19:25" ht="15.75" customHeight="1" x14ac:dyDescent="0.45">
      <c r="S572" s="5"/>
      <c r="T572" s="5"/>
      <c r="U572" s="5"/>
      <c r="V572" s="5"/>
      <c r="W572" s="45"/>
      <c r="Y572" s="4"/>
    </row>
    <row r="573" spans="19:25" ht="15.75" customHeight="1" x14ac:dyDescent="0.45">
      <c r="S573" s="5"/>
      <c r="T573" s="5"/>
      <c r="U573" s="5"/>
      <c r="V573" s="5"/>
      <c r="W573" s="45"/>
      <c r="Y573" s="4"/>
    </row>
    <row r="574" spans="19:25" ht="15.75" customHeight="1" x14ac:dyDescent="0.45">
      <c r="S574" s="5"/>
      <c r="T574" s="5"/>
      <c r="U574" s="5"/>
      <c r="V574" s="5"/>
      <c r="W574" s="45"/>
      <c r="Y574" s="4"/>
    </row>
    <row r="575" spans="19:25" ht="15.75" customHeight="1" x14ac:dyDescent="0.45">
      <c r="S575" s="5"/>
      <c r="T575" s="5"/>
      <c r="U575" s="5"/>
      <c r="V575" s="5"/>
      <c r="W575" s="45"/>
      <c r="Y575" s="4"/>
    </row>
    <row r="576" spans="19:25" ht="15.75" customHeight="1" x14ac:dyDescent="0.45">
      <c r="S576" s="5"/>
      <c r="T576" s="5"/>
      <c r="U576" s="5"/>
      <c r="V576" s="5"/>
      <c r="W576" s="45"/>
      <c r="Y576" s="4"/>
    </row>
    <row r="577" spans="19:25" ht="15.75" customHeight="1" x14ac:dyDescent="0.45">
      <c r="S577" s="5"/>
      <c r="T577" s="5"/>
      <c r="U577" s="5"/>
      <c r="V577" s="5"/>
      <c r="W577" s="45"/>
      <c r="Y577" s="4"/>
    </row>
    <row r="578" spans="19:25" ht="15.75" customHeight="1" x14ac:dyDescent="0.45">
      <c r="S578" s="5"/>
      <c r="T578" s="5"/>
      <c r="U578" s="5"/>
      <c r="V578" s="5"/>
      <c r="W578" s="45"/>
      <c r="Y578" s="4"/>
    </row>
    <row r="579" spans="19:25" ht="15.75" customHeight="1" x14ac:dyDescent="0.45">
      <c r="S579" s="5"/>
      <c r="T579" s="5"/>
      <c r="U579" s="5"/>
      <c r="V579" s="5"/>
      <c r="W579" s="45"/>
      <c r="Y579" s="4"/>
    </row>
    <row r="580" spans="19:25" ht="15.75" customHeight="1" x14ac:dyDescent="0.45">
      <c r="S580" s="5"/>
      <c r="T580" s="5"/>
      <c r="U580" s="5"/>
      <c r="V580" s="5"/>
      <c r="W580" s="45"/>
      <c r="Y580" s="4"/>
    </row>
    <row r="581" spans="19:25" ht="15.75" customHeight="1" x14ac:dyDescent="0.45">
      <c r="S581" s="5"/>
      <c r="T581" s="5"/>
      <c r="U581" s="5"/>
      <c r="V581" s="5"/>
      <c r="W581" s="45"/>
      <c r="Y581" s="4"/>
    </row>
    <row r="582" spans="19:25" ht="15.75" customHeight="1" x14ac:dyDescent="0.45">
      <c r="S582" s="5"/>
      <c r="T582" s="5"/>
      <c r="U582" s="5"/>
      <c r="V582" s="5"/>
      <c r="W582" s="45"/>
      <c r="Y582" s="4"/>
    </row>
    <row r="583" spans="19:25" ht="15.75" customHeight="1" x14ac:dyDescent="0.45">
      <c r="S583" s="5"/>
      <c r="T583" s="5"/>
      <c r="U583" s="5"/>
      <c r="V583" s="5"/>
      <c r="W583" s="45"/>
      <c r="Y583" s="4"/>
    </row>
    <row r="584" spans="19:25" ht="15.75" customHeight="1" x14ac:dyDescent="0.45">
      <c r="S584" s="5"/>
      <c r="T584" s="5"/>
      <c r="U584" s="5"/>
      <c r="V584" s="5"/>
      <c r="W584" s="45"/>
      <c r="Y584" s="4"/>
    </row>
    <row r="585" spans="19:25" ht="15.75" customHeight="1" x14ac:dyDescent="0.45">
      <c r="S585" s="5"/>
      <c r="T585" s="5"/>
      <c r="U585" s="5"/>
      <c r="V585" s="5"/>
      <c r="W585" s="45"/>
      <c r="Y585" s="4"/>
    </row>
    <row r="586" spans="19:25" ht="15.75" customHeight="1" x14ac:dyDescent="0.45">
      <c r="S586" s="5"/>
      <c r="T586" s="5"/>
      <c r="U586" s="5"/>
      <c r="V586" s="5"/>
      <c r="W586" s="45"/>
      <c r="Y586" s="4"/>
    </row>
    <row r="587" spans="19:25" ht="15.75" customHeight="1" x14ac:dyDescent="0.45">
      <c r="S587" s="5"/>
      <c r="T587" s="5"/>
      <c r="U587" s="5"/>
      <c r="V587" s="5"/>
      <c r="W587" s="45"/>
      <c r="Y587" s="4"/>
    </row>
    <row r="588" spans="19:25" ht="15.75" customHeight="1" x14ac:dyDescent="0.45">
      <c r="S588" s="5"/>
      <c r="T588" s="5"/>
      <c r="U588" s="5"/>
      <c r="V588" s="5"/>
      <c r="W588" s="45"/>
      <c r="Y588" s="4"/>
    </row>
    <row r="589" spans="19:25" ht="15.75" customHeight="1" x14ac:dyDescent="0.45">
      <c r="S589" s="5"/>
      <c r="T589" s="5"/>
      <c r="U589" s="5"/>
      <c r="V589" s="5"/>
      <c r="W589" s="45"/>
      <c r="Y589" s="4"/>
    </row>
    <row r="590" spans="19:25" ht="15.75" customHeight="1" x14ac:dyDescent="0.45">
      <c r="S590" s="5"/>
      <c r="T590" s="5"/>
      <c r="U590" s="5"/>
      <c r="V590" s="5"/>
      <c r="W590" s="45"/>
      <c r="Y590" s="4"/>
    </row>
    <row r="591" spans="19:25" ht="15.75" customHeight="1" x14ac:dyDescent="0.45">
      <c r="S591" s="5"/>
      <c r="T591" s="5"/>
      <c r="U591" s="5"/>
      <c r="V591" s="5"/>
      <c r="W591" s="45"/>
      <c r="Y591" s="4"/>
    </row>
    <row r="592" spans="19:25" ht="15.75" customHeight="1" x14ac:dyDescent="0.45">
      <c r="S592" s="5"/>
      <c r="T592" s="5"/>
      <c r="U592" s="5"/>
      <c r="V592" s="5"/>
      <c r="W592" s="45"/>
      <c r="Y592" s="4"/>
    </row>
    <row r="593" spans="19:25" ht="15.75" customHeight="1" x14ac:dyDescent="0.45">
      <c r="S593" s="5"/>
      <c r="T593" s="5"/>
      <c r="U593" s="5"/>
      <c r="V593" s="5"/>
      <c r="W593" s="45"/>
      <c r="Y593" s="4"/>
    </row>
    <row r="594" spans="19:25" ht="15.75" customHeight="1" x14ac:dyDescent="0.45">
      <c r="S594" s="5"/>
      <c r="T594" s="5"/>
      <c r="U594" s="5"/>
      <c r="V594" s="5"/>
      <c r="W594" s="45"/>
      <c r="Y594" s="4"/>
    </row>
    <row r="595" spans="19:25" ht="15.75" customHeight="1" x14ac:dyDescent="0.45">
      <c r="S595" s="5"/>
      <c r="T595" s="5"/>
      <c r="U595" s="5"/>
      <c r="V595" s="5"/>
      <c r="W595" s="45"/>
      <c r="Y595" s="4"/>
    </row>
    <row r="596" spans="19:25" ht="15.75" customHeight="1" x14ac:dyDescent="0.45">
      <c r="S596" s="5"/>
      <c r="T596" s="5"/>
      <c r="U596" s="5"/>
      <c r="V596" s="5"/>
      <c r="W596" s="45"/>
      <c r="Y596" s="4"/>
    </row>
    <row r="597" spans="19:25" ht="15.75" customHeight="1" x14ac:dyDescent="0.45">
      <c r="S597" s="5"/>
      <c r="T597" s="5"/>
      <c r="U597" s="5"/>
      <c r="V597" s="5"/>
      <c r="W597" s="45"/>
      <c r="Y597" s="4"/>
    </row>
    <row r="598" spans="19:25" ht="15.75" customHeight="1" x14ac:dyDescent="0.45">
      <c r="S598" s="5"/>
      <c r="T598" s="5"/>
      <c r="U598" s="5"/>
      <c r="V598" s="5"/>
      <c r="W598" s="45"/>
      <c r="Y598" s="4"/>
    </row>
    <row r="599" spans="19:25" ht="15.75" customHeight="1" x14ac:dyDescent="0.45">
      <c r="S599" s="5"/>
      <c r="T599" s="5"/>
      <c r="U599" s="5"/>
      <c r="V599" s="5"/>
      <c r="W599" s="45"/>
      <c r="Y599" s="4"/>
    </row>
    <row r="600" spans="19:25" ht="15.75" customHeight="1" x14ac:dyDescent="0.45">
      <c r="S600" s="5"/>
      <c r="T600" s="5"/>
      <c r="U600" s="5"/>
      <c r="V600" s="5"/>
      <c r="W600" s="45"/>
      <c r="Y600" s="4"/>
    </row>
    <row r="601" spans="19:25" ht="15.75" customHeight="1" x14ac:dyDescent="0.45">
      <c r="S601" s="5"/>
      <c r="T601" s="5"/>
      <c r="U601" s="5"/>
      <c r="V601" s="5"/>
      <c r="W601" s="45"/>
      <c r="Y601" s="4"/>
    </row>
    <row r="602" spans="19:25" ht="15.75" customHeight="1" x14ac:dyDescent="0.45">
      <c r="S602" s="5"/>
      <c r="T602" s="5"/>
      <c r="U602" s="5"/>
      <c r="V602" s="5"/>
      <c r="W602" s="45"/>
      <c r="Y602" s="4"/>
    </row>
    <row r="603" spans="19:25" ht="15.75" customHeight="1" x14ac:dyDescent="0.45">
      <c r="S603" s="5"/>
      <c r="T603" s="5"/>
      <c r="U603" s="5"/>
      <c r="V603" s="5"/>
      <c r="W603" s="45"/>
      <c r="Y603" s="4"/>
    </row>
    <row r="604" spans="19:25" ht="15.75" customHeight="1" x14ac:dyDescent="0.45">
      <c r="S604" s="5"/>
      <c r="T604" s="5"/>
      <c r="U604" s="5"/>
      <c r="V604" s="5"/>
      <c r="W604" s="45"/>
      <c r="Y604" s="4"/>
    </row>
    <row r="605" spans="19:25" ht="15.75" customHeight="1" x14ac:dyDescent="0.45">
      <c r="S605" s="5"/>
      <c r="T605" s="5"/>
      <c r="U605" s="5"/>
      <c r="V605" s="5"/>
      <c r="W605" s="45"/>
      <c r="Y605" s="4"/>
    </row>
    <row r="606" spans="19:25" ht="15.75" customHeight="1" x14ac:dyDescent="0.45">
      <c r="S606" s="5"/>
      <c r="T606" s="5"/>
      <c r="U606" s="5"/>
      <c r="V606" s="5"/>
      <c r="W606" s="45"/>
      <c r="Y606" s="4"/>
    </row>
    <row r="607" spans="19:25" ht="15.75" customHeight="1" x14ac:dyDescent="0.45">
      <c r="S607" s="5"/>
      <c r="T607" s="5"/>
      <c r="U607" s="5"/>
      <c r="V607" s="5"/>
      <c r="W607" s="45"/>
      <c r="Y607" s="4"/>
    </row>
    <row r="608" spans="19:25" ht="15.75" customHeight="1" x14ac:dyDescent="0.45">
      <c r="S608" s="5"/>
      <c r="T608" s="5"/>
      <c r="U608" s="5"/>
      <c r="V608" s="5"/>
      <c r="W608" s="45"/>
      <c r="Y608" s="4"/>
    </row>
    <row r="609" spans="19:25" ht="15.75" customHeight="1" x14ac:dyDescent="0.45">
      <c r="S609" s="5"/>
      <c r="T609" s="5"/>
      <c r="U609" s="5"/>
      <c r="V609" s="5"/>
      <c r="W609" s="45"/>
      <c r="Y609" s="4"/>
    </row>
    <row r="610" spans="19:25" ht="15.75" customHeight="1" x14ac:dyDescent="0.45">
      <c r="S610" s="5"/>
      <c r="T610" s="5"/>
      <c r="U610" s="5"/>
      <c r="V610" s="5"/>
      <c r="W610" s="45"/>
      <c r="Y610" s="4"/>
    </row>
    <row r="611" spans="19:25" ht="15.75" customHeight="1" x14ac:dyDescent="0.45">
      <c r="S611" s="5"/>
      <c r="T611" s="5"/>
      <c r="U611" s="5"/>
      <c r="V611" s="5"/>
      <c r="W611" s="45"/>
      <c r="Y611" s="4"/>
    </row>
    <row r="612" spans="19:25" ht="15.75" customHeight="1" x14ac:dyDescent="0.45">
      <c r="S612" s="5"/>
      <c r="T612" s="5"/>
      <c r="U612" s="5"/>
      <c r="V612" s="5"/>
      <c r="W612" s="45"/>
      <c r="Y612" s="4"/>
    </row>
    <row r="613" spans="19:25" ht="15.75" customHeight="1" x14ac:dyDescent="0.45">
      <c r="S613" s="5"/>
      <c r="T613" s="5"/>
      <c r="U613" s="5"/>
      <c r="V613" s="5"/>
      <c r="W613" s="45"/>
      <c r="Y613" s="4"/>
    </row>
    <row r="614" spans="19:25" ht="15.75" customHeight="1" x14ac:dyDescent="0.45">
      <c r="S614" s="5"/>
      <c r="T614" s="5"/>
      <c r="U614" s="5"/>
      <c r="V614" s="5"/>
      <c r="W614" s="45"/>
      <c r="Y614" s="4"/>
    </row>
    <row r="615" spans="19:25" ht="15.75" customHeight="1" x14ac:dyDescent="0.45">
      <c r="S615" s="5"/>
      <c r="T615" s="5"/>
      <c r="U615" s="5"/>
      <c r="V615" s="5"/>
      <c r="W615" s="45"/>
      <c r="Y615" s="4"/>
    </row>
    <row r="616" spans="19:25" ht="15.75" customHeight="1" x14ac:dyDescent="0.45">
      <c r="S616" s="5"/>
      <c r="T616" s="5"/>
      <c r="U616" s="5"/>
      <c r="V616" s="5"/>
      <c r="W616" s="45"/>
      <c r="Y616" s="4"/>
    </row>
    <row r="617" spans="19:25" ht="15.75" customHeight="1" x14ac:dyDescent="0.45">
      <c r="S617" s="5"/>
      <c r="T617" s="5"/>
      <c r="U617" s="5"/>
      <c r="V617" s="5"/>
      <c r="W617" s="45"/>
      <c r="Y617" s="4"/>
    </row>
    <row r="618" spans="19:25" ht="15.75" customHeight="1" x14ac:dyDescent="0.45">
      <c r="S618" s="5"/>
      <c r="T618" s="5"/>
      <c r="U618" s="5"/>
      <c r="V618" s="5"/>
      <c r="W618" s="45"/>
      <c r="Y618" s="4"/>
    </row>
    <row r="619" spans="19:25" ht="15.75" customHeight="1" x14ac:dyDescent="0.45">
      <c r="S619" s="5"/>
      <c r="T619" s="5"/>
      <c r="U619" s="5"/>
      <c r="V619" s="5"/>
      <c r="W619" s="45"/>
      <c r="Y619" s="4"/>
    </row>
    <row r="620" spans="19:25" ht="15.75" customHeight="1" x14ac:dyDescent="0.45">
      <c r="S620" s="5"/>
      <c r="T620" s="5"/>
      <c r="U620" s="5"/>
      <c r="V620" s="5"/>
      <c r="W620" s="45"/>
      <c r="Y620" s="4"/>
    </row>
    <row r="621" spans="19:25" ht="15.75" customHeight="1" x14ac:dyDescent="0.45">
      <c r="S621" s="5"/>
      <c r="T621" s="5"/>
      <c r="U621" s="5"/>
      <c r="V621" s="5"/>
      <c r="W621" s="45"/>
      <c r="Y621" s="4"/>
    </row>
    <row r="622" spans="19:25" ht="15.75" customHeight="1" x14ac:dyDescent="0.45">
      <c r="S622" s="5"/>
      <c r="T622" s="5"/>
      <c r="U622" s="5"/>
      <c r="V622" s="5"/>
      <c r="W622" s="45"/>
      <c r="Y622" s="4"/>
    </row>
    <row r="623" spans="19:25" ht="15.75" customHeight="1" x14ac:dyDescent="0.45">
      <c r="S623" s="5"/>
      <c r="T623" s="5"/>
      <c r="U623" s="5"/>
      <c r="V623" s="5"/>
      <c r="W623" s="45"/>
      <c r="Y623" s="4"/>
    </row>
    <row r="624" spans="19:25" ht="15.75" customHeight="1" x14ac:dyDescent="0.45">
      <c r="S624" s="5"/>
      <c r="T624" s="5"/>
      <c r="U624" s="5"/>
      <c r="V624" s="5"/>
      <c r="W624" s="45"/>
      <c r="Y624" s="4"/>
    </row>
    <row r="625" spans="19:25" ht="15.75" customHeight="1" x14ac:dyDescent="0.45">
      <c r="S625" s="5"/>
      <c r="T625" s="5"/>
      <c r="U625" s="5"/>
      <c r="V625" s="5"/>
      <c r="W625" s="45"/>
      <c r="Y625" s="4"/>
    </row>
    <row r="626" spans="19:25" ht="15.75" customHeight="1" x14ac:dyDescent="0.45">
      <c r="S626" s="5"/>
      <c r="T626" s="5"/>
      <c r="U626" s="5"/>
      <c r="V626" s="5"/>
      <c r="W626" s="45"/>
      <c r="Y626" s="4"/>
    </row>
    <row r="627" spans="19:25" ht="15.75" customHeight="1" x14ac:dyDescent="0.45">
      <c r="S627" s="5"/>
      <c r="T627" s="5"/>
      <c r="U627" s="5"/>
      <c r="V627" s="5"/>
      <c r="W627" s="45"/>
      <c r="Y627" s="4"/>
    </row>
    <row r="628" spans="19:25" ht="15.75" customHeight="1" x14ac:dyDescent="0.45">
      <c r="S628" s="5"/>
      <c r="T628" s="5"/>
      <c r="U628" s="5"/>
      <c r="V628" s="5"/>
      <c r="W628" s="45"/>
      <c r="Y628" s="4"/>
    </row>
    <row r="629" spans="19:25" ht="15.75" customHeight="1" x14ac:dyDescent="0.45">
      <c r="S629" s="5"/>
      <c r="T629" s="5"/>
      <c r="U629" s="5"/>
      <c r="V629" s="5"/>
      <c r="W629" s="45"/>
      <c r="Y629" s="4"/>
    </row>
    <row r="630" spans="19:25" ht="15.75" customHeight="1" x14ac:dyDescent="0.45">
      <c r="S630" s="5"/>
      <c r="T630" s="5"/>
      <c r="U630" s="5"/>
      <c r="V630" s="5"/>
      <c r="W630" s="45"/>
      <c r="Y630" s="4"/>
    </row>
    <row r="631" spans="19:25" ht="15.75" customHeight="1" x14ac:dyDescent="0.45">
      <c r="S631" s="5"/>
      <c r="T631" s="5"/>
      <c r="U631" s="5"/>
      <c r="V631" s="5"/>
      <c r="W631" s="45"/>
      <c r="Y631" s="4"/>
    </row>
    <row r="632" spans="19:25" ht="15.75" customHeight="1" x14ac:dyDescent="0.45">
      <c r="S632" s="5"/>
      <c r="T632" s="5"/>
      <c r="U632" s="5"/>
      <c r="V632" s="5"/>
      <c r="W632" s="45"/>
      <c r="Y632" s="4"/>
    </row>
    <row r="633" spans="19:25" ht="15.75" customHeight="1" x14ac:dyDescent="0.45">
      <c r="S633" s="5"/>
      <c r="T633" s="5"/>
      <c r="U633" s="5"/>
      <c r="V633" s="5"/>
      <c r="W633" s="45"/>
      <c r="Y633" s="4"/>
    </row>
    <row r="634" spans="19:25" ht="15.75" customHeight="1" x14ac:dyDescent="0.45">
      <c r="S634" s="5"/>
      <c r="T634" s="5"/>
      <c r="U634" s="5"/>
      <c r="V634" s="5"/>
      <c r="W634" s="45"/>
      <c r="Y634" s="4"/>
    </row>
    <row r="635" spans="19:25" ht="15.75" customHeight="1" x14ac:dyDescent="0.45">
      <c r="S635" s="5"/>
      <c r="T635" s="5"/>
      <c r="U635" s="5"/>
      <c r="V635" s="5"/>
      <c r="W635" s="45"/>
      <c r="Y635" s="4"/>
    </row>
    <row r="636" spans="19:25" ht="15.75" customHeight="1" x14ac:dyDescent="0.45">
      <c r="S636" s="5"/>
      <c r="T636" s="5"/>
      <c r="U636" s="5"/>
      <c r="V636" s="5"/>
      <c r="W636" s="45"/>
      <c r="Y636" s="4"/>
    </row>
    <row r="637" spans="19:25" ht="15.75" customHeight="1" x14ac:dyDescent="0.45">
      <c r="S637" s="5"/>
      <c r="T637" s="5"/>
      <c r="U637" s="5"/>
      <c r="V637" s="5"/>
      <c r="W637" s="45"/>
      <c r="Y637" s="4"/>
    </row>
    <row r="638" spans="19:25" ht="15.75" customHeight="1" x14ac:dyDescent="0.45">
      <c r="S638" s="5"/>
      <c r="T638" s="5"/>
      <c r="U638" s="5"/>
      <c r="V638" s="5"/>
      <c r="W638" s="45"/>
      <c r="Y638" s="4"/>
    </row>
    <row r="639" spans="19:25" ht="15.75" customHeight="1" x14ac:dyDescent="0.45">
      <c r="S639" s="5"/>
      <c r="T639" s="5"/>
      <c r="U639" s="5"/>
      <c r="V639" s="5"/>
      <c r="W639" s="45"/>
      <c r="Y639" s="4"/>
    </row>
    <row r="640" spans="19:25" ht="15.75" customHeight="1" x14ac:dyDescent="0.45">
      <c r="S640" s="5"/>
      <c r="T640" s="5"/>
      <c r="U640" s="5"/>
      <c r="V640" s="5"/>
      <c r="W640" s="45"/>
      <c r="Y640" s="4"/>
    </row>
    <row r="641" spans="19:25" ht="15.75" customHeight="1" x14ac:dyDescent="0.45">
      <c r="S641" s="5"/>
      <c r="T641" s="5"/>
      <c r="U641" s="5"/>
      <c r="V641" s="5"/>
      <c r="W641" s="45"/>
      <c r="Y641" s="4"/>
    </row>
    <row r="642" spans="19:25" ht="15.75" customHeight="1" x14ac:dyDescent="0.45">
      <c r="S642" s="5"/>
      <c r="T642" s="5"/>
      <c r="U642" s="5"/>
      <c r="V642" s="5"/>
      <c r="W642" s="45"/>
      <c r="Y642" s="4"/>
    </row>
    <row r="643" spans="19:25" ht="15.75" customHeight="1" x14ac:dyDescent="0.45">
      <c r="S643" s="5"/>
      <c r="T643" s="5"/>
      <c r="U643" s="5"/>
      <c r="V643" s="5"/>
      <c r="W643" s="45"/>
      <c r="Y643" s="4"/>
    </row>
    <row r="644" spans="19:25" ht="15.75" customHeight="1" x14ac:dyDescent="0.45">
      <c r="S644" s="5"/>
      <c r="T644" s="5"/>
      <c r="U644" s="5"/>
      <c r="V644" s="5"/>
      <c r="W644" s="45"/>
      <c r="Y644" s="4"/>
    </row>
    <row r="645" spans="19:25" ht="15.75" customHeight="1" x14ac:dyDescent="0.45">
      <c r="S645" s="5"/>
      <c r="T645" s="5"/>
      <c r="U645" s="5"/>
      <c r="V645" s="5"/>
      <c r="W645" s="45"/>
      <c r="Y645" s="4"/>
    </row>
    <row r="646" spans="19:25" ht="15.75" customHeight="1" x14ac:dyDescent="0.45">
      <c r="S646" s="5"/>
      <c r="T646" s="5"/>
      <c r="U646" s="5"/>
      <c r="V646" s="5"/>
      <c r="W646" s="45"/>
      <c r="Y646" s="4"/>
    </row>
    <row r="647" spans="19:25" ht="15.75" customHeight="1" x14ac:dyDescent="0.45">
      <c r="S647" s="5"/>
      <c r="T647" s="5"/>
      <c r="U647" s="5"/>
      <c r="V647" s="5"/>
      <c r="W647" s="45"/>
      <c r="Y647" s="4"/>
    </row>
    <row r="648" spans="19:25" ht="15.75" customHeight="1" x14ac:dyDescent="0.45">
      <c r="S648" s="5"/>
      <c r="T648" s="5"/>
      <c r="U648" s="5"/>
      <c r="V648" s="5"/>
      <c r="W648" s="45"/>
      <c r="Y648" s="4"/>
    </row>
    <row r="649" spans="19:25" ht="15.75" customHeight="1" x14ac:dyDescent="0.45">
      <c r="S649" s="5"/>
      <c r="T649" s="5"/>
      <c r="U649" s="5"/>
      <c r="V649" s="5"/>
      <c r="W649" s="45"/>
      <c r="Y649" s="4"/>
    </row>
    <row r="650" spans="19:25" ht="15.75" customHeight="1" x14ac:dyDescent="0.45">
      <c r="S650" s="5"/>
      <c r="T650" s="5"/>
      <c r="U650" s="5"/>
      <c r="V650" s="5"/>
      <c r="W650" s="45"/>
      <c r="Y650" s="4"/>
    </row>
    <row r="651" spans="19:25" ht="15.75" customHeight="1" x14ac:dyDescent="0.45">
      <c r="S651" s="5"/>
      <c r="T651" s="5"/>
      <c r="U651" s="5"/>
      <c r="V651" s="5"/>
      <c r="W651" s="45"/>
      <c r="Y651" s="4"/>
    </row>
    <row r="652" spans="19:25" ht="15.75" customHeight="1" x14ac:dyDescent="0.45">
      <c r="S652" s="5"/>
      <c r="T652" s="5"/>
      <c r="U652" s="5"/>
      <c r="V652" s="5"/>
      <c r="W652" s="45"/>
      <c r="Y652" s="4"/>
    </row>
    <row r="653" spans="19:25" ht="15.75" customHeight="1" x14ac:dyDescent="0.45">
      <c r="S653" s="5"/>
      <c r="T653" s="5"/>
      <c r="U653" s="5"/>
      <c r="V653" s="5"/>
      <c r="W653" s="45"/>
      <c r="Y653" s="4"/>
    </row>
    <row r="654" spans="19:25" ht="15.75" customHeight="1" x14ac:dyDescent="0.45">
      <c r="S654" s="5"/>
      <c r="T654" s="5"/>
      <c r="U654" s="5"/>
      <c r="V654" s="5"/>
      <c r="W654" s="45"/>
      <c r="Y654" s="4"/>
    </row>
    <row r="655" spans="19:25" ht="15.75" customHeight="1" x14ac:dyDescent="0.45">
      <c r="S655" s="5"/>
      <c r="T655" s="5"/>
      <c r="U655" s="5"/>
      <c r="V655" s="5"/>
      <c r="W655" s="45"/>
      <c r="Y655" s="4"/>
    </row>
    <row r="656" spans="19:25" ht="15.75" customHeight="1" x14ac:dyDescent="0.45">
      <c r="S656" s="5"/>
      <c r="T656" s="5"/>
      <c r="U656" s="5"/>
      <c r="V656" s="5"/>
      <c r="W656" s="45"/>
      <c r="Y656" s="4"/>
    </row>
    <row r="657" spans="19:25" ht="15.75" customHeight="1" x14ac:dyDescent="0.45">
      <c r="S657" s="5"/>
      <c r="T657" s="5"/>
      <c r="U657" s="5"/>
      <c r="V657" s="5"/>
      <c r="W657" s="45"/>
      <c r="Y657" s="4"/>
    </row>
    <row r="658" spans="19:25" ht="15.75" customHeight="1" x14ac:dyDescent="0.45">
      <c r="S658" s="5"/>
      <c r="T658" s="5"/>
      <c r="U658" s="5"/>
      <c r="V658" s="5"/>
      <c r="W658" s="45"/>
      <c r="Y658" s="4"/>
    </row>
    <row r="659" spans="19:25" ht="15.75" customHeight="1" x14ac:dyDescent="0.45">
      <c r="S659" s="5"/>
      <c r="T659" s="5"/>
      <c r="U659" s="5"/>
      <c r="V659" s="5"/>
      <c r="W659" s="45"/>
      <c r="Y659" s="4"/>
    </row>
    <row r="660" spans="19:25" ht="15.75" customHeight="1" x14ac:dyDescent="0.45">
      <c r="S660" s="5"/>
      <c r="T660" s="5"/>
      <c r="U660" s="5"/>
      <c r="V660" s="5"/>
      <c r="W660" s="45"/>
      <c r="Y660" s="4"/>
    </row>
    <row r="661" spans="19:25" ht="15.75" customHeight="1" x14ac:dyDescent="0.45">
      <c r="S661" s="5"/>
      <c r="T661" s="5"/>
      <c r="U661" s="5"/>
      <c r="V661" s="5"/>
      <c r="W661" s="45"/>
      <c r="Y661" s="4"/>
    </row>
    <row r="662" spans="19:25" ht="15.75" customHeight="1" x14ac:dyDescent="0.45">
      <c r="S662" s="5"/>
      <c r="T662" s="5"/>
      <c r="U662" s="5"/>
      <c r="V662" s="5"/>
      <c r="W662" s="45"/>
      <c r="Y662" s="4"/>
    </row>
    <row r="663" spans="19:25" ht="15.75" customHeight="1" x14ac:dyDescent="0.45">
      <c r="S663" s="5"/>
      <c r="T663" s="5"/>
      <c r="U663" s="5"/>
      <c r="V663" s="5"/>
      <c r="W663" s="45"/>
      <c r="Y663" s="4"/>
    </row>
    <row r="664" spans="19:25" ht="15.75" customHeight="1" x14ac:dyDescent="0.45">
      <c r="S664" s="5"/>
      <c r="T664" s="5"/>
      <c r="U664" s="5"/>
      <c r="V664" s="5"/>
      <c r="W664" s="45"/>
      <c r="Y664" s="4"/>
    </row>
    <row r="665" spans="19:25" ht="15.75" customHeight="1" x14ac:dyDescent="0.45">
      <c r="S665" s="5"/>
      <c r="T665" s="5"/>
      <c r="U665" s="5"/>
      <c r="V665" s="5"/>
      <c r="W665" s="45"/>
      <c r="Y665" s="4"/>
    </row>
    <row r="666" spans="19:25" ht="15.75" customHeight="1" x14ac:dyDescent="0.45">
      <c r="S666" s="5"/>
      <c r="T666" s="5"/>
      <c r="U666" s="5"/>
      <c r="V666" s="5"/>
      <c r="W666" s="45"/>
      <c r="Y666" s="4"/>
    </row>
    <row r="667" spans="19:25" ht="15.75" customHeight="1" x14ac:dyDescent="0.45">
      <c r="S667" s="5"/>
      <c r="T667" s="5"/>
      <c r="U667" s="5"/>
      <c r="V667" s="5"/>
      <c r="W667" s="45"/>
      <c r="Y667" s="4"/>
    </row>
    <row r="668" spans="19:25" ht="15.75" customHeight="1" x14ac:dyDescent="0.45">
      <c r="S668" s="5"/>
      <c r="T668" s="5"/>
      <c r="U668" s="5"/>
      <c r="V668" s="5"/>
      <c r="W668" s="45"/>
      <c r="Y668" s="4"/>
    </row>
    <row r="669" spans="19:25" ht="15.75" customHeight="1" x14ac:dyDescent="0.45">
      <c r="S669" s="5"/>
      <c r="T669" s="5"/>
      <c r="U669" s="5"/>
      <c r="V669" s="5"/>
      <c r="W669" s="45"/>
      <c r="Y669" s="4"/>
    </row>
    <row r="670" spans="19:25" ht="15.75" customHeight="1" x14ac:dyDescent="0.45">
      <c r="S670" s="5"/>
      <c r="T670" s="5"/>
      <c r="U670" s="5"/>
      <c r="V670" s="5"/>
      <c r="W670" s="45"/>
      <c r="Y670" s="4"/>
    </row>
    <row r="671" spans="19:25" ht="15.75" customHeight="1" x14ac:dyDescent="0.45">
      <c r="S671" s="5"/>
      <c r="T671" s="5"/>
      <c r="U671" s="5"/>
      <c r="V671" s="5"/>
      <c r="W671" s="45"/>
      <c r="Y671" s="4"/>
    </row>
    <row r="672" spans="19:25" ht="15.75" customHeight="1" x14ac:dyDescent="0.45">
      <c r="S672" s="5"/>
      <c r="T672" s="5"/>
      <c r="U672" s="5"/>
      <c r="V672" s="5"/>
      <c r="W672" s="45"/>
      <c r="Y672" s="4"/>
    </row>
    <row r="673" spans="19:25" ht="15.75" customHeight="1" x14ac:dyDescent="0.45">
      <c r="S673" s="5"/>
      <c r="T673" s="5"/>
      <c r="U673" s="5"/>
      <c r="V673" s="5"/>
      <c r="W673" s="45"/>
      <c r="Y673" s="4"/>
    </row>
    <row r="674" spans="19:25" ht="15.75" customHeight="1" x14ac:dyDescent="0.45">
      <c r="S674" s="5"/>
      <c r="T674" s="5"/>
      <c r="U674" s="5"/>
      <c r="V674" s="5"/>
      <c r="W674" s="45"/>
      <c r="Y674" s="4"/>
    </row>
    <row r="675" spans="19:25" ht="15.75" customHeight="1" x14ac:dyDescent="0.45">
      <c r="S675" s="5"/>
      <c r="T675" s="5"/>
      <c r="U675" s="5"/>
      <c r="V675" s="5"/>
      <c r="W675" s="45"/>
      <c r="Y675" s="4"/>
    </row>
    <row r="676" spans="19:25" ht="15.75" customHeight="1" x14ac:dyDescent="0.45">
      <c r="S676" s="5"/>
      <c r="T676" s="5"/>
      <c r="U676" s="5"/>
      <c r="V676" s="5"/>
      <c r="W676" s="45"/>
      <c r="Y676" s="4"/>
    </row>
    <row r="677" spans="19:25" ht="15.75" customHeight="1" x14ac:dyDescent="0.45">
      <c r="S677" s="5"/>
      <c r="T677" s="5"/>
      <c r="U677" s="5"/>
      <c r="V677" s="5"/>
      <c r="W677" s="45"/>
      <c r="Y677" s="4"/>
    </row>
    <row r="678" spans="19:25" ht="15.75" customHeight="1" x14ac:dyDescent="0.45">
      <c r="S678" s="5"/>
      <c r="T678" s="5"/>
      <c r="U678" s="5"/>
      <c r="V678" s="5"/>
      <c r="W678" s="45"/>
      <c r="Y678" s="4"/>
    </row>
    <row r="679" spans="19:25" ht="15.75" customHeight="1" x14ac:dyDescent="0.45">
      <c r="S679" s="5"/>
      <c r="T679" s="5"/>
      <c r="U679" s="5"/>
      <c r="V679" s="5"/>
      <c r="W679" s="45"/>
      <c r="Y679" s="4"/>
    </row>
    <row r="680" spans="19:25" ht="15.75" customHeight="1" x14ac:dyDescent="0.45">
      <c r="S680" s="5"/>
      <c r="T680" s="5"/>
      <c r="U680" s="5"/>
      <c r="V680" s="5"/>
      <c r="W680" s="45"/>
      <c r="Y680" s="4"/>
    </row>
    <row r="681" spans="19:25" ht="15.75" customHeight="1" x14ac:dyDescent="0.45">
      <c r="S681" s="5"/>
      <c r="T681" s="5"/>
      <c r="U681" s="5"/>
      <c r="V681" s="5"/>
      <c r="W681" s="45"/>
      <c r="Y681" s="4"/>
    </row>
    <row r="682" spans="19:25" ht="15.75" customHeight="1" x14ac:dyDescent="0.45">
      <c r="S682" s="5"/>
      <c r="T682" s="5"/>
      <c r="U682" s="5"/>
      <c r="V682" s="5"/>
      <c r="W682" s="45"/>
      <c r="Y682" s="4"/>
    </row>
    <row r="683" spans="19:25" ht="15.75" customHeight="1" x14ac:dyDescent="0.45">
      <c r="S683" s="5"/>
      <c r="T683" s="5"/>
      <c r="U683" s="5"/>
      <c r="V683" s="5"/>
      <c r="W683" s="45"/>
      <c r="Y683" s="4"/>
    </row>
    <row r="684" spans="19:25" ht="15.75" customHeight="1" x14ac:dyDescent="0.45">
      <c r="S684" s="5"/>
      <c r="T684" s="5"/>
      <c r="U684" s="5"/>
      <c r="V684" s="5"/>
      <c r="W684" s="45"/>
      <c r="Y684" s="4"/>
    </row>
    <row r="685" spans="19:25" ht="15.75" customHeight="1" x14ac:dyDescent="0.45">
      <c r="S685" s="5"/>
      <c r="T685" s="5"/>
      <c r="U685" s="5"/>
      <c r="V685" s="5"/>
      <c r="W685" s="45"/>
      <c r="Y685" s="4"/>
    </row>
    <row r="686" spans="19:25" ht="15.75" customHeight="1" x14ac:dyDescent="0.45">
      <c r="S686" s="5"/>
      <c r="T686" s="5"/>
      <c r="U686" s="5"/>
      <c r="V686" s="5"/>
      <c r="W686" s="45"/>
      <c r="Y686" s="4"/>
    </row>
    <row r="687" spans="19:25" ht="15.75" customHeight="1" x14ac:dyDescent="0.45">
      <c r="S687" s="5"/>
      <c r="T687" s="5"/>
      <c r="U687" s="5"/>
      <c r="V687" s="5"/>
      <c r="W687" s="45"/>
      <c r="Y687" s="4"/>
    </row>
    <row r="688" spans="19:25" ht="15.75" customHeight="1" x14ac:dyDescent="0.45">
      <c r="S688" s="5"/>
      <c r="T688" s="5"/>
      <c r="U688" s="5"/>
      <c r="V688" s="5"/>
      <c r="W688" s="45"/>
      <c r="Y688" s="4"/>
    </row>
    <row r="689" spans="19:25" ht="15.75" customHeight="1" x14ac:dyDescent="0.45">
      <c r="S689" s="5"/>
      <c r="T689" s="5"/>
      <c r="U689" s="5"/>
      <c r="V689" s="5"/>
      <c r="W689" s="45"/>
      <c r="Y689" s="4"/>
    </row>
    <row r="690" spans="19:25" ht="15.75" customHeight="1" x14ac:dyDescent="0.45">
      <c r="S690" s="5"/>
      <c r="T690" s="5"/>
      <c r="U690" s="5"/>
      <c r="V690" s="5"/>
      <c r="W690" s="45"/>
      <c r="Y690" s="4"/>
    </row>
    <row r="691" spans="19:25" ht="15.75" customHeight="1" x14ac:dyDescent="0.45">
      <c r="S691" s="5"/>
      <c r="T691" s="5"/>
      <c r="U691" s="5"/>
      <c r="V691" s="5"/>
      <c r="W691" s="45"/>
      <c r="Y691" s="4"/>
    </row>
    <row r="692" spans="19:25" ht="15.75" customHeight="1" x14ac:dyDescent="0.45">
      <c r="S692" s="5"/>
      <c r="T692" s="5"/>
      <c r="U692" s="5"/>
      <c r="V692" s="5"/>
      <c r="W692" s="45"/>
      <c r="Y692" s="4"/>
    </row>
    <row r="693" spans="19:25" ht="15.75" customHeight="1" x14ac:dyDescent="0.45">
      <c r="S693" s="5"/>
      <c r="T693" s="5"/>
      <c r="U693" s="5"/>
      <c r="V693" s="5"/>
      <c r="W693" s="45"/>
      <c r="Y693" s="4"/>
    </row>
    <row r="694" spans="19:25" ht="15.75" customHeight="1" x14ac:dyDescent="0.45">
      <c r="S694" s="5"/>
      <c r="T694" s="5"/>
      <c r="U694" s="5"/>
      <c r="V694" s="5"/>
      <c r="W694" s="45"/>
      <c r="Y694" s="4"/>
    </row>
    <row r="695" spans="19:25" ht="15.75" customHeight="1" x14ac:dyDescent="0.45">
      <c r="S695" s="5"/>
      <c r="T695" s="5"/>
      <c r="U695" s="5"/>
      <c r="V695" s="5"/>
      <c r="W695" s="45"/>
      <c r="Y695" s="4"/>
    </row>
    <row r="696" spans="19:25" ht="15.75" customHeight="1" x14ac:dyDescent="0.45">
      <c r="S696" s="5"/>
      <c r="T696" s="5"/>
      <c r="U696" s="5"/>
      <c r="V696" s="5"/>
      <c r="W696" s="45"/>
      <c r="Y696" s="4"/>
    </row>
    <row r="697" spans="19:25" ht="15.75" customHeight="1" x14ac:dyDescent="0.45">
      <c r="S697" s="5"/>
      <c r="T697" s="5"/>
      <c r="U697" s="5"/>
      <c r="V697" s="5"/>
      <c r="W697" s="45"/>
      <c r="Y697" s="4"/>
    </row>
    <row r="698" spans="19:25" ht="15.75" customHeight="1" x14ac:dyDescent="0.45">
      <c r="S698" s="5"/>
      <c r="T698" s="5"/>
      <c r="U698" s="5"/>
      <c r="V698" s="5"/>
      <c r="W698" s="45"/>
      <c r="Y698" s="4"/>
    </row>
    <row r="699" spans="19:25" ht="15.75" customHeight="1" x14ac:dyDescent="0.45">
      <c r="S699" s="5"/>
      <c r="T699" s="5"/>
      <c r="U699" s="5"/>
      <c r="V699" s="5"/>
      <c r="W699" s="45"/>
      <c r="Y699" s="4"/>
    </row>
    <row r="700" spans="19:25" ht="15.75" customHeight="1" x14ac:dyDescent="0.45">
      <c r="S700" s="5"/>
      <c r="T700" s="5"/>
      <c r="U700" s="5"/>
      <c r="V700" s="5"/>
      <c r="W700" s="45"/>
      <c r="Y700" s="4"/>
    </row>
    <row r="701" spans="19:25" ht="15.75" customHeight="1" x14ac:dyDescent="0.45">
      <c r="S701" s="5"/>
      <c r="T701" s="5"/>
      <c r="U701" s="5"/>
      <c r="V701" s="5"/>
      <c r="W701" s="45"/>
      <c r="Y701" s="4"/>
    </row>
    <row r="702" spans="19:25" ht="15.75" customHeight="1" x14ac:dyDescent="0.45">
      <c r="S702" s="5"/>
      <c r="T702" s="5"/>
      <c r="U702" s="5"/>
      <c r="V702" s="5"/>
      <c r="W702" s="45"/>
      <c r="Y702" s="4"/>
    </row>
    <row r="703" spans="19:25" ht="15.75" customHeight="1" x14ac:dyDescent="0.45">
      <c r="S703" s="5"/>
      <c r="T703" s="5"/>
      <c r="U703" s="5"/>
      <c r="V703" s="5"/>
      <c r="W703" s="45"/>
      <c r="Y703" s="4"/>
    </row>
    <row r="704" spans="19:25" ht="15.75" customHeight="1" x14ac:dyDescent="0.45">
      <c r="S704" s="5"/>
      <c r="T704" s="5"/>
      <c r="U704" s="5"/>
      <c r="V704" s="5"/>
      <c r="W704" s="45"/>
      <c r="Y704" s="4"/>
    </row>
    <row r="705" spans="19:25" ht="15.75" customHeight="1" x14ac:dyDescent="0.45">
      <c r="S705" s="5"/>
      <c r="T705" s="5"/>
      <c r="U705" s="5"/>
      <c r="V705" s="5"/>
      <c r="W705" s="45"/>
      <c r="Y705" s="4"/>
    </row>
    <row r="706" spans="19:25" ht="15.75" customHeight="1" x14ac:dyDescent="0.45">
      <c r="S706" s="5"/>
      <c r="T706" s="5"/>
      <c r="U706" s="5"/>
      <c r="V706" s="5"/>
      <c r="W706" s="45"/>
      <c r="Y706" s="4"/>
    </row>
    <row r="707" spans="19:25" ht="15.75" customHeight="1" x14ac:dyDescent="0.45">
      <c r="S707" s="5"/>
      <c r="T707" s="5"/>
      <c r="U707" s="5"/>
      <c r="V707" s="5"/>
      <c r="W707" s="45"/>
      <c r="Y707" s="4"/>
    </row>
    <row r="708" spans="19:25" ht="15.75" customHeight="1" x14ac:dyDescent="0.45">
      <c r="S708" s="5"/>
      <c r="T708" s="5"/>
      <c r="U708" s="5"/>
      <c r="V708" s="5"/>
      <c r="W708" s="45"/>
      <c r="Y708" s="4"/>
    </row>
    <row r="709" spans="19:25" ht="15.75" customHeight="1" x14ac:dyDescent="0.45">
      <c r="S709" s="5"/>
      <c r="T709" s="5"/>
      <c r="U709" s="5"/>
      <c r="V709" s="5"/>
      <c r="W709" s="45"/>
      <c r="Y709" s="4"/>
    </row>
    <row r="710" spans="19:25" ht="15.75" customHeight="1" x14ac:dyDescent="0.45">
      <c r="S710" s="5"/>
      <c r="T710" s="5"/>
      <c r="U710" s="5"/>
      <c r="V710" s="5"/>
      <c r="W710" s="45"/>
      <c r="Y710" s="4"/>
    </row>
    <row r="711" spans="19:25" ht="15.75" customHeight="1" x14ac:dyDescent="0.45">
      <c r="S711" s="5"/>
      <c r="T711" s="5"/>
      <c r="U711" s="5"/>
      <c r="V711" s="5"/>
      <c r="W711" s="45"/>
      <c r="Y711" s="4"/>
    </row>
    <row r="712" spans="19:25" ht="15.75" customHeight="1" x14ac:dyDescent="0.45">
      <c r="S712" s="5"/>
      <c r="T712" s="5"/>
      <c r="U712" s="5"/>
      <c r="V712" s="5"/>
      <c r="W712" s="45"/>
      <c r="Y712" s="4"/>
    </row>
    <row r="713" spans="19:25" ht="15.75" customHeight="1" x14ac:dyDescent="0.45">
      <c r="S713" s="5"/>
      <c r="T713" s="5"/>
      <c r="U713" s="5"/>
      <c r="V713" s="5"/>
      <c r="W713" s="45"/>
      <c r="Y713" s="4"/>
    </row>
    <row r="714" spans="19:25" ht="15.75" customHeight="1" x14ac:dyDescent="0.45">
      <c r="S714" s="5"/>
      <c r="T714" s="5"/>
      <c r="U714" s="5"/>
      <c r="V714" s="5"/>
      <c r="W714" s="45"/>
      <c r="Y714" s="4"/>
    </row>
    <row r="715" spans="19:25" ht="15.75" customHeight="1" x14ac:dyDescent="0.45">
      <c r="S715" s="5"/>
      <c r="T715" s="5"/>
      <c r="U715" s="5"/>
      <c r="V715" s="5"/>
      <c r="W715" s="45"/>
      <c r="Y715" s="4"/>
    </row>
    <row r="716" spans="19:25" ht="15.75" customHeight="1" x14ac:dyDescent="0.45">
      <c r="S716" s="5"/>
      <c r="T716" s="5"/>
      <c r="U716" s="5"/>
      <c r="V716" s="5"/>
      <c r="W716" s="45"/>
      <c r="Y716" s="4"/>
    </row>
    <row r="717" spans="19:25" ht="15.75" customHeight="1" x14ac:dyDescent="0.45">
      <c r="S717" s="5"/>
      <c r="T717" s="5"/>
      <c r="U717" s="5"/>
      <c r="V717" s="5"/>
      <c r="W717" s="45"/>
      <c r="Y717" s="4"/>
    </row>
    <row r="718" spans="19:25" ht="15.75" customHeight="1" x14ac:dyDescent="0.45">
      <c r="S718" s="5"/>
      <c r="T718" s="5"/>
      <c r="U718" s="5"/>
      <c r="V718" s="5"/>
      <c r="W718" s="45"/>
      <c r="Y718" s="4"/>
    </row>
    <row r="719" spans="19:25" ht="15.75" customHeight="1" x14ac:dyDescent="0.45">
      <c r="S719" s="5"/>
      <c r="T719" s="5"/>
      <c r="U719" s="5"/>
      <c r="V719" s="5"/>
      <c r="W719" s="45"/>
      <c r="Y719" s="4"/>
    </row>
    <row r="720" spans="19:25" ht="15.75" customHeight="1" x14ac:dyDescent="0.45">
      <c r="S720" s="5"/>
      <c r="T720" s="5"/>
      <c r="U720" s="5"/>
      <c r="V720" s="5"/>
      <c r="W720" s="45"/>
      <c r="Y720" s="4"/>
    </row>
    <row r="721" spans="19:25" ht="15.75" customHeight="1" x14ac:dyDescent="0.45">
      <c r="S721" s="5"/>
      <c r="T721" s="5"/>
      <c r="U721" s="5"/>
      <c r="V721" s="5"/>
      <c r="W721" s="45"/>
      <c r="Y721" s="4"/>
    </row>
    <row r="722" spans="19:25" ht="15.75" customHeight="1" x14ac:dyDescent="0.45">
      <c r="S722" s="5"/>
      <c r="T722" s="5"/>
      <c r="U722" s="5"/>
      <c r="V722" s="5"/>
      <c r="W722" s="45"/>
      <c r="Y722" s="4"/>
    </row>
    <row r="723" spans="19:25" ht="15.75" customHeight="1" x14ac:dyDescent="0.45">
      <c r="S723" s="5"/>
      <c r="T723" s="5"/>
      <c r="U723" s="5"/>
      <c r="V723" s="5"/>
      <c r="W723" s="45"/>
      <c r="Y723" s="4"/>
    </row>
    <row r="724" spans="19:25" ht="15.75" customHeight="1" x14ac:dyDescent="0.45">
      <c r="S724" s="5"/>
      <c r="T724" s="5"/>
      <c r="U724" s="5"/>
      <c r="V724" s="5"/>
      <c r="W724" s="45"/>
      <c r="Y724" s="4"/>
    </row>
    <row r="725" spans="19:25" ht="15.75" customHeight="1" x14ac:dyDescent="0.45">
      <c r="S725" s="5"/>
      <c r="T725" s="5"/>
      <c r="U725" s="5"/>
      <c r="V725" s="5"/>
      <c r="W725" s="45"/>
      <c r="Y725" s="4"/>
    </row>
    <row r="726" spans="19:25" ht="15.75" customHeight="1" x14ac:dyDescent="0.45">
      <c r="S726" s="5"/>
      <c r="T726" s="5"/>
      <c r="U726" s="5"/>
      <c r="V726" s="5"/>
      <c r="W726" s="45"/>
      <c r="Y726" s="4"/>
    </row>
    <row r="727" spans="19:25" ht="15.75" customHeight="1" x14ac:dyDescent="0.45">
      <c r="S727" s="5"/>
      <c r="T727" s="5"/>
      <c r="U727" s="5"/>
      <c r="V727" s="5"/>
      <c r="W727" s="45"/>
      <c r="Y727" s="4"/>
    </row>
    <row r="728" spans="19:25" ht="15.75" customHeight="1" x14ac:dyDescent="0.45">
      <c r="S728" s="5"/>
      <c r="T728" s="5"/>
      <c r="U728" s="5"/>
      <c r="V728" s="5"/>
      <c r="W728" s="45"/>
      <c r="Y728" s="4"/>
    </row>
    <row r="729" spans="19:25" ht="15.75" customHeight="1" x14ac:dyDescent="0.45">
      <c r="S729" s="5"/>
      <c r="T729" s="5"/>
      <c r="U729" s="5"/>
      <c r="V729" s="5"/>
      <c r="W729" s="45"/>
      <c r="Y729" s="4"/>
    </row>
    <row r="730" spans="19:25" ht="15.75" customHeight="1" x14ac:dyDescent="0.45">
      <c r="S730" s="5"/>
      <c r="T730" s="5"/>
      <c r="U730" s="5"/>
      <c r="V730" s="5"/>
      <c r="W730" s="45"/>
      <c r="Y730" s="4"/>
    </row>
    <row r="731" spans="19:25" ht="15.75" customHeight="1" x14ac:dyDescent="0.45">
      <c r="S731" s="5"/>
      <c r="T731" s="5"/>
      <c r="U731" s="5"/>
      <c r="V731" s="5"/>
      <c r="W731" s="45"/>
      <c r="Y731" s="4"/>
    </row>
    <row r="732" spans="19:25" ht="15.75" customHeight="1" x14ac:dyDescent="0.45">
      <c r="S732" s="5"/>
      <c r="T732" s="5"/>
      <c r="U732" s="5"/>
      <c r="V732" s="5"/>
      <c r="W732" s="45"/>
      <c r="Y732" s="4"/>
    </row>
    <row r="733" spans="19:25" ht="15.75" customHeight="1" x14ac:dyDescent="0.45">
      <c r="S733" s="5"/>
      <c r="T733" s="5"/>
      <c r="U733" s="5"/>
      <c r="V733" s="5"/>
      <c r="W733" s="45"/>
      <c r="Y733" s="4"/>
    </row>
    <row r="734" spans="19:25" ht="15.75" customHeight="1" x14ac:dyDescent="0.45">
      <c r="S734" s="5"/>
      <c r="T734" s="5"/>
      <c r="U734" s="5"/>
      <c r="V734" s="5"/>
      <c r="W734" s="45"/>
      <c r="Y734" s="4"/>
    </row>
    <row r="735" spans="19:25" ht="15.75" customHeight="1" x14ac:dyDescent="0.45">
      <c r="S735" s="5"/>
      <c r="T735" s="5"/>
      <c r="U735" s="5"/>
      <c r="V735" s="5"/>
      <c r="W735" s="45"/>
      <c r="Y735" s="4"/>
    </row>
    <row r="736" spans="19:25" ht="15.75" customHeight="1" x14ac:dyDescent="0.45">
      <c r="S736" s="5"/>
      <c r="T736" s="5"/>
      <c r="U736" s="5"/>
      <c r="V736" s="5"/>
      <c r="W736" s="45"/>
      <c r="Y736" s="4"/>
    </row>
    <row r="737" spans="19:25" ht="15.75" customHeight="1" x14ac:dyDescent="0.45">
      <c r="S737" s="5"/>
      <c r="T737" s="5"/>
      <c r="U737" s="5"/>
      <c r="V737" s="5"/>
      <c r="W737" s="45"/>
      <c r="Y737" s="4"/>
    </row>
    <row r="738" spans="19:25" ht="15.75" customHeight="1" x14ac:dyDescent="0.45">
      <c r="S738" s="5"/>
      <c r="T738" s="5"/>
      <c r="U738" s="5"/>
      <c r="V738" s="5"/>
      <c r="W738" s="45"/>
      <c r="Y738" s="4"/>
    </row>
    <row r="739" spans="19:25" ht="15.75" customHeight="1" x14ac:dyDescent="0.45">
      <c r="S739" s="5"/>
      <c r="T739" s="5"/>
      <c r="U739" s="5"/>
      <c r="V739" s="5"/>
      <c r="W739" s="45"/>
      <c r="Y739" s="4"/>
    </row>
    <row r="740" spans="19:25" ht="15.75" customHeight="1" x14ac:dyDescent="0.45">
      <c r="S740" s="5"/>
      <c r="T740" s="5"/>
      <c r="U740" s="5"/>
      <c r="V740" s="5"/>
      <c r="W740" s="45"/>
      <c r="Y740" s="4"/>
    </row>
    <row r="741" spans="19:25" ht="15.75" customHeight="1" x14ac:dyDescent="0.45">
      <c r="S741" s="5"/>
      <c r="T741" s="5"/>
      <c r="U741" s="5"/>
      <c r="V741" s="5"/>
      <c r="W741" s="45"/>
      <c r="Y741" s="4"/>
    </row>
    <row r="742" spans="19:25" ht="15.75" customHeight="1" x14ac:dyDescent="0.45">
      <c r="S742" s="5"/>
      <c r="T742" s="5"/>
      <c r="U742" s="5"/>
      <c r="V742" s="5"/>
      <c r="W742" s="45"/>
      <c r="Y742" s="4"/>
    </row>
    <row r="743" spans="19:25" ht="15.75" customHeight="1" x14ac:dyDescent="0.45">
      <c r="S743" s="5"/>
      <c r="T743" s="5"/>
      <c r="U743" s="5"/>
      <c r="V743" s="5"/>
      <c r="W743" s="45"/>
      <c r="Y743" s="4"/>
    </row>
    <row r="744" spans="19:25" ht="15.75" customHeight="1" x14ac:dyDescent="0.45">
      <c r="S744" s="5"/>
      <c r="T744" s="5"/>
      <c r="U744" s="5"/>
      <c r="V744" s="5"/>
      <c r="W744" s="45"/>
      <c r="Y744" s="4"/>
    </row>
    <row r="745" spans="19:25" ht="15.75" customHeight="1" x14ac:dyDescent="0.45">
      <c r="S745" s="5"/>
      <c r="T745" s="5"/>
      <c r="U745" s="5"/>
      <c r="V745" s="5"/>
      <c r="W745" s="45"/>
      <c r="Y745" s="4"/>
    </row>
    <row r="746" spans="19:25" ht="15.75" customHeight="1" x14ac:dyDescent="0.45">
      <c r="S746" s="5"/>
      <c r="T746" s="5"/>
      <c r="U746" s="5"/>
      <c r="V746" s="5"/>
      <c r="W746" s="45"/>
      <c r="Y746" s="4"/>
    </row>
    <row r="747" spans="19:25" ht="15.75" customHeight="1" x14ac:dyDescent="0.45">
      <c r="S747" s="5"/>
      <c r="T747" s="5"/>
      <c r="U747" s="5"/>
      <c r="V747" s="5"/>
      <c r="W747" s="45"/>
      <c r="Y747" s="4"/>
    </row>
    <row r="748" spans="19:25" ht="15.75" customHeight="1" x14ac:dyDescent="0.45">
      <c r="S748" s="5"/>
      <c r="T748" s="5"/>
      <c r="U748" s="5"/>
      <c r="V748" s="5"/>
      <c r="W748" s="45"/>
      <c r="Y748" s="4"/>
    </row>
    <row r="749" spans="19:25" ht="15.75" customHeight="1" x14ac:dyDescent="0.45">
      <c r="S749" s="5"/>
      <c r="T749" s="5"/>
      <c r="U749" s="5"/>
      <c r="V749" s="5"/>
      <c r="W749" s="45"/>
      <c r="Y749" s="4"/>
    </row>
    <row r="750" spans="19:25" ht="15.75" customHeight="1" x14ac:dyDescent="0.45">
      <c r="S750" s="5"/>
      <c r="T750" s="5"/>
      <c r="U750" s="5"/>
      <c r="V750" s="5"/>
      <c r="W750" s="45"/>
      <c r="Y750" s="4"/>
    </row>
    <row r="751" spans="19:25" ht="15.75" customHeight="1" x14ac:dyDescent="0.45">
      <c r="S751" s="5"/>
      <c r="T751" s="5"/>
      <c r="U751" s="5"/>
      <c r="V751" s="5"/>
      <c r="W751" s="45"/>
      <c r="Y751" s="4"/>
    </row>
    <row r="752" spans="19:25" ht="15.75" customHeight="1" x14ac:dyDescent="0.45">
      <c r="S752" s="5"/>
      <c r="T752" s="5"/>
      <c r="U752" s="5"/>
      <c r="V752" s="5"/>
      <c r="W752" s="45"/>
      <c r="Y752" s="4"/>
    </row>
    <row r="753" spans="19:25" ht="15.75" customHeight="1" x14ac:dyDescent="0.45">
      <c r="S753" s="5"/>
      <c r="T753" s="5"/>
      <c r="U753" s="5"/>
      <c r="V753" s="5"/>
      <c r="W753" s="45"/>
      <c r="Y753" s="4"/>
    </row>
    <row r="754" spans="19:25" ht="15.75" customHeight="1" x14ac:dyDescent="0.45">
      <c r="S754" s="5"/>
      <c r="T754" s="5"/>
      <c r="U754" s="5"/>
      <c r="V754" s="5"/>
      <c r="W754" s="45"/>
      <c r="Y754" s="4"/>
    </row>
    <row r="755" spans="19:25" ht="15.75" customHeight="1" x14ac:dyDescent="0.45">
      <c r="S755" s="5"/>
      <c r="T755" s="5"/>
      <c r="U755" s="5"/>
      <c r="V755" s="5"/>
      <c r="W755" s="45"/>
      <c r="Y755" s="4"/>
    </row>
    <row r="756" spans="19:25" ht="15.75" customHeight="1" x14ac:dyDescent="0.45">
      <c r="S756" s="5"/>
      <c r="T756" s="5"/>
      <c r="U756" s="5"/>
      <c r="V756" s="5"/>
      <c r="W756" s="45"/>
      <c r="Y756" s="4"/>
    </row>
    <row r="757" spans="19:25" ht="15.75" customHeight="1" x14ac:dyDescent="0.45">
      <c r="S757" s="5"/>
      <c r="T757" s="5"/>
      <c r="U757" s="5"/>
      <c r="V757" s="5"/>
      <c r="W757" s="45"/>
      <c r="Y757" s="4"/>
    </row>
    <row r="758" spans="19:25" ht="15.75" customHeight="1" x14ac:dyDescent="0.45">
      <c r="S758" s="5"/>
      <c r="T758" s="5"/>
      <c r="U758" s="5"/>
      <c r="V758" s="5"/>
      <c r="W758" s="45"/>
      <c r="Y758" s="4"/>
    </row>
    <row r="759" spans="19:25" ht="15.75" customHeight="1" x14ac:dyDescent="0.45">
      <c r="S759" s="5"/>
      <c r="T759" s="5"/>
      <c r="U759" s="5"/>
      <c r="V759" s="5"/>
      <c r="W759" s="45"/>
      <c r="Y759" s="4"/>
    </row>
    <row r="760" spans="19:25" ht="15.75" customHeight="1" x14ac:dyDescent="0.45">
      <c r="S760" s="5"/>
      <c r="T760" s="5"/>
      <c r="U760" s="5"/>
      <c r="V760" s="5"/>
      <c r="W760" s="45"/>
      <c r="Y760" s="4"/>
    </row>
    <row r="761" spans="19:25" ht="15.75" customHeight="1" x14ac:dyDescent="0.45">
      <c r="S761" s="5"/>
      <c r="T761" s="5"/>
      <c r="U761" s="5"/>
      <c r="V761" s="5"/>
      <c r="W761" s="45"/>
      <c r="Y761" s="4"/>
    </row>
    <row r="762" spans="19:25" ht="15.75" customHeight="1" x14ac:dyDescent="0.45">
      <c r="S762" s="5"/>
      <c r="T762" s="5"/>
      <c r="U762" s="5"/>
      <c r="V762" s="5"/>
      <c r="W762" s="45"/>
      <c r="Y762" s="4"/>
    </row>
    <row r="763" spans="19:25" ht="15.75" customHeight="1" x14ac:dyDescent="0.45">
      <c r="S763" s="5"/>
      <c r="T763" s="5"/>
      <c r="U763" s="5"/>
      <c r="V763" s="5"/>
      <c r="W763" s="45"/>
      <c r="Y763" s="4"/>
    </row>
    <row r="764" spans="19:25" ht="15.75" customHeight="1" x14ac:dyDescent="0.45">
      <c r="S764" s="5"/>
      <c r="T764" s="5"/>
      <c r="U764" s="5"/>
      <c r="V764" s="5"/>
      <c r="W764" s="45"/>
      <c r="Y764" s="4"/>
    </row>
    <row r="765" spans="19:25" ht="15.75" customHeight="1" x14ac:dyDescent="0.45">
      <c r="S765" s="5"/>
      <c r="T765" s="5"/>
      <c r="U765" s="5"/>
      <c r="V765" s="5"/>
      <c r="W765" s="45"/>
      <c r="Y765" s="4"/>
    </row>
    <row r="766" spans="19:25" ht="15.75" customHeight="1" x14ac:dyDescent="0.45">
      <c r="S766" s="5"/>
      <c r="T766" s="5"/>
      <c r="U766" s="5"/>
      <c r="V766" s="5"/>
      <c r="W766" s="45"/>
      <c r="Y766" s="4"/>
    </row>
    <row r="767" spans="19:25" ht="15.75" customHeight="1" x14ac:dyDescent="0.45">
      <c r="S767" s="5"/>
      <c r="T767" s="5"/>
      <c r="U767" s="5"/>
      <c r="V767" s="5"/>
      <c r="W767" s="45"/>
      <c r="Y767" s="4"/>
    </row>
    <row r="768" spans="19:25" ht="15.75" customHeight="1" x14ac:dyDescent="0.45">
      <c r="S768" s="5"/>
      <c r="T768" s="5"/>
      <c r="U768" s="5"/>
      <c r="V768" s="5"/>
      <c r="W768" s="45"/>
      <c r="Y768" s="4"/>
    </row>
    <row r="769" spans="19:25" ht="15.75" customHeight="1" x14ac:dyDescent="0.45">
      <c r="S769" s="5"/>
      <c r="T769" s="5"/>
      <c r="U769" s="5"/>
      <c r="V769" s="5"/>
      <c r="W769" s="45"/>
      <c r="Y769" s="4"/>
    </row>
    <row r="770" spans="19:25" ht="15.75" customHeight="1" x14ac:dyDescent="0.45">
      <c r="S770" s="5"/>
      <c r="T770" s="5"/>
      <c r="U770" s="5"/>
      <c r="V770" s="5"/>
      <c r="W770" s="45"/>
      <c r="Y770" s="4"/>
    </row>
    <row r="771" spans="19:25" ht="15.75" customHeight="1" x14ac:dyDescent="0.45">
      <c r="S771" s="5"/>
      <c r="T771" s="5"/>
      <c r="U771" s="5"/>
      <c r="V771" s="5"/>
      <c r="W771" s="45"/>
      <c r="Y771" s="4"/>
    </row>
    <row r="772" spans="19:25" ht="15.75" customHeight="1" x14ac:dyDescent="0.45">
      <c r="S772" s="5"/>
      <c r="T772" s="5"/>
      <c r="U772" s="5"/>
      <c r="V772" s="5"/>
      <c r="W772" s="45"/>
      <c r="Y772" s="4"/>
    </row>
    <row r="773" spans="19:25" ht="15.75" customHeight="1" x14ac:dyDescent="0.45">
      <c r="S773" s="5"/>
      <c r="T773" s="5"/>
      <c r="U773" s="5"/>
      <c r="V773" s="5"/>
      <c r="W773" s="45"/>
      <c r="Y773" s="4"/>
    </row>
    <row r="774" spans="19:25" ht="15.75" customHeight="1" x14ac:dyDescent="0.45">
      <c r="S774" s="5"/>
      <c r="T774" s="5"/>
      <c r="U774" s="5"/>
      <c r="V774" s="5"/>
      <c r="W774" s="45"/>
      <c r="Y774" s="4"/>
    </row>
    <row r="775" spans="19:25" ht="15.75" customHeight="1" x14ac:dyDescent="0.45">
      <c r="S775" s="5"/>
      <c r="T775" s="5"/>
      <c r="U775" s="5"/>
      <c r="V775" s="5"/>
      <c r="W775" s="45"/>
      <c r="Y775" s="4"/>
    </row>
    <row r="776" spans="19:25" ht="15.75" customHeight="1" x14ac:dyDescent="0.45">
      <c r="S776" s="5"/>
      <c r="T776" s="5"/>
      <c r="U776" s="5"/>
      <c r="V776" s="5"/>
      <c r="W776" s="45"/>
      <c r="Y776" s="4"/>
    </row>
    <row r="777" spans="19:25" ht="15.75" customHeight="1" x14ac:dyDescent="0.45">
      <c r="S777" s="5"/>
      <c r="T777" s="5"/>
      <c r="U777" s="5"/>
      <c r="V777" s="5"/>
      <c r="W777" s="45"/>
      <c r="Y777" s="4"/>
    </row>
    <row r="778" spans="19:25" ht="15.75" customHeight="1" x14ac:dyDescent="0.45">
      <c r="S778" s="5"/>
      <c r="T778" s="5"/>
      <c r="U778" s="5"/>
      <c r="V778" s="5"/>
      <c r="W778" s="45"/>
      <c r="Y778" s="4"/>
    </row>
    <row r="779" spans="19:25" ht="15.75" customHeight="1" x14ac:dyDescent="0.45">
      <c r="S779" s="5"/>
      <c r="T779" s="5"/>
      <c r="U779" s="5"/>
      <c r="V779" s="5"/>
      <c r="W779" s="45"/>
      <c r="Y779" s="4"/>
    </row>
    <row r="780" spans="19:25" ht="15.75" customHeight="1" x14ac:dyDescent="0.45">
      <c r="S780" s="5"/>
      <c r="T780" s="5"/>
      <c r="U780" s="5"/>
      <c r="V780" s="5"/>
      <c r="W780" s="45"/>
      <c r="Y780" s="4"/>
    </row>
    <row r="781" spans="19:25" ht="15.75" customHeight="1" x14ac:dyDescent="0.45">
      <c r="S781" s="5"/>
      <c r="T781" s="5"/>
      <c r="U781" s="5"/>
      <c r="V781" s="5"/>
      <c r="W781" s="45"/>
      <c r="Y781" s="4"/>
    </row>
    <row r="782" spans="19:25" ht="15.75" customHeight="1" x14ac:dyDescent="0.45">
      <c r="S782" s="5"/>
      <c r="T782" s="5"/>
      <c r="U782" s="5"/>
      <c r="V782" s="5"/>
      <c r="W782" s="45"/>
      <c r="Y782" s="4"/>
    </row>
    <row r="783" spans="19:25" ht="15.75" customHeight="1" x14ac:dyDescent="0.45">
      <c r="S783" s="5"/>
      <c r="T783" s="5"/>
      <c r="U783" s="5"/>
      <c r="V783" s="5"/>
      <c r="W783" s="45"/>
      <c r="Y783" s="4"/>
    </row>
    <row r="784" spans="19:25" ht="15.75" customHeight="1" x14ac:dyDescent="0.45">
      <c r="S784" s="5"/>
      <c r="T784" s="5"/>
      <c r="U784" s="5"/>
      <c r="V784" s="5"/>
      <c r="W784" s="45"/>
      <c r="Y784" s="4"/>
    </row>
    <row r="785" spans="19:25" ht="15.75" customHeight="1" x14ac:dyDescent="0.45">
      <c r="S785" s="5"/>
      <c r="T785" s="5"/>
      <c r="U785" s="5"/>
      <c r="V785" s="5"/>
      <c r="W785" s="45"/>
      <c r="Y785" s="4"/>
    </row>
    <row r="786" spans="19:25" ht="15.75" customHeight="1" x14ac:dyDescent="0.45">
      <c r="S786" s="5"/>
      <c r="T786" s="5"/>
      <c r="U786" s="5"/>
      <c r="V786" s="5"/>
      <c r="W786" s="45"/>
      <c r="Y786" s="4"/>
    </row>
    <row r="787" spans="19:25" ht="15.75" customHeight="1" x14ac:dyDescent="0.45">
      <c r="S787" s="5"/>
      <c r="T787" s="5"/>
      <c r="U787" s="5"/>
      <c r="V787" s="5"/>
      <c r="W787" s="45"/>
      <c r="Y787" s="4"/>
    </row>
    <row r="788" spans="19:25" ht="15.75" customHeight="1" x14ac:dyDescent="0.45">
      <c r="S788" s="5"/>
      <c r="T788" s="5"/>
      <c r="U788" s="5"/>
      <c r="V788" s="5"/>
      <c r="W788" s="45"/>
      <c r="Y788" s="4"/>
    </row>
    <row r="789" spans="19:25" ht="15.75" customHeight="1" x14ac:dyDescent="0.45">
      <c r="S789" s="5"/>
      <c r="T789" s="5"/>
      <c r="U789" s="5"/>
      <c r="V789" s="5"/>
      <c r="W789" s="45"/>
      <c r="Y789" s="4"/>
    </row>
    <row r="790" spans="19:25" ht="15.75" customHeight="1" x14ac:dyDescent="0.45">
      <c r="S790" s="5"/>
      <c r="T790" s="5"/>
      <c r="U790" s="5"/>
      <c r="V790" s="5"/>
      <c r="W790" s="45"/>
      <c r="Y790" s="4"/>
    </row>
    <row r="791" spans="19:25" ht="15.75" customHeight="1" x14ac:dyDescent="0.45">
      <c r="S791" s="5"/>
      <c r="T791" s="5"/>
      <c r="U791" s="5"/>
      <c r="V791" s="5"/>
      <c r="W791" s="45"/>
      <c r="Y791" s="4"/>
    </row>
    <row r="792" spans="19:25" ht="15.75" customHeight="1" x14ac:dyDescent="0.45">
      <c r="S792" s="5"/>
      <c r="T792" s="5"/>
      <c r="U792" s="5"/>
      <c r="V792" s="5"/>
      <c r="W792" s="45"/>
      <c r="Y792" s="4"/>
    </row>
    <row r="793" spans="19:25" ht="15.75" customHeight="1" x14ac:dyDescent="0.45">
      <c r="S793" s="5"/>
      <c r="T793" s="5"/>
      <c r="U793" s="5"/>
      <c r="V793" s="5"/>
      <c r="W793" s="45"/>
      <c r="Y793" s="4"/>
    </row>
    <row r="794" spans="19:25" ht="15.75" customHeight="1" x14ac:dyDescent="0.45">
      <c r="S794" s="5"/>
      <c r="T794" s="5"/>
      <c r="U794" s="5"/>
      <c r="V794" s="5"/>
      <c r="W794" s="45"/>
      <c r="Y794" s="4"/>
    </row>
    <row r="795" spans="19:25" ht="15.75" customHeight="1" x14ac:dyDescent="0.45">
      <c r="S795" s="5"/>
      <c r="T795" s="5"/>
      <c r="U795" s="5"/>
      <c r="V795" s="5"/>
      <c r="W795" s="45"/>
      <c r="Y795" s="4"/>
    </row>
    <row r="796" spans="19:25" ht="15.75" customHeight="1" x14ac:dyDescent="0.45">
      <c r="S796" s="5"/>
      <c r="T796" s="5"/>
      <c r="U796" s="5"/>
      <c r="V796" s="5"/>
      <c r="W796" s="45"/>
      <c r="Y796" s="4"/>
    </row>
    <row r="797" spans="19:25" ht="15.75" customHeight="1" x14ac:dyDescent="0.45">
      <c r="S797" s="5"/>
      <c r="T797" s="5"/>
      <c r="U797" s="5"/>
      <c r="V797" s="5"/>
      <c r="W797" s="45"/>
      <c r="Y797" s="4"/>
    </row>
    <row r="798" spans="19:25" ht="15.75" customHeight="1" x14ac:dyDescent="0.45">
      <c r="S798" s="5"/>
      <c r="T798" s="5"/>
      <c r="U798" s="5"/>
      <c r="V798" s="5"/>
      <c r="W798" s="45"/>
      <c r="Y798" s="4"/>
    </row>
    <row r="799" spans="19:25" ht="15.75" customHeight="1" x14ac:dyDescent="0.45">
      <c r="S799" s="5"/>
      <c r="T799" s="5"/>
      <c r="U799" s="5"/>
      <c r="V799" s="5"/>
      <c r="W799" s="45"/>
      <c r="Y799" s="4"/>
    </row>
    <row r="800" spans="19:25" ht="15.75" customHeight="1" x14ac:dyDescent="0.45">
      <c r="S800" s="5"/>
      <c r="T800" s="5"/>
      <c r="U800" s="5"/>
      <c r="V800" s="5"/>
      <c r="W800" s="45"/>
      <c r="Y800" s="4"/>
    </row>
    <row r="801" spans="19:25" ht="15.75" customHeight="1" x14ac:dyDescent="0.45">
      <c r="S801" s="5"/>
      <c r="T801" s="5"/>
      <c r="U801" s="5"/>
      <c r="V801" s="5"/>
      <c r="W801" s="45"/>
      <c r="Y801" s="4"/>
    </row>
    <row r="802" spans="19:25" ht="15.75" customHeight="1" x14ac:dyDescent="0.45">
      <c r="S802" s="5"/>
      <c r="T802" s="5"/>
      <c r="U802" s="5"/>
      <c r="V802" s="5"/>
      <c r="W802" s="45"/>
      <c r="Y802" s="4"/>
    </row>
    <row r="803" spans="19:25" ht="15.75" customHeight="1" x14ac:dyDescent="0.45">
      <c r="S803" s="5"/>
      <c r="T803" s="5"/>
      <c r="U803" s="5"/>
      <c r="V803" s="5"/>
      <c r="W803" s="45"/>
      <c r="Y803" s="4"/>
    </row>
    <row r="804" spans="19:25" ht="15.75" customHeight="1" x14ac:dyDescent="0.45">
      <c r="S804" s="5"/>
      <c r="T804" s="5"/>
      <c r="U804" s="5"/>
      <c r="V804" s="5"/>
      <c r="W804" s="45"/>
      <c r="Y804" s="4"/>
    </row>
    <row r="805" spans="19:25" ht="15.75" customHeight="1" x14ac:dyDescent="0.45">
      <c r="S805" s="5"/>
      <c r="T805" s="5"/>
      <c r="U805" s="5"/>
      <c r="V805" s="5"/>
      <c r="W805" s="45"/>
      <c r="Y805" s="4"/>
    </row>
    <row r="806" spans="19:25" ht="15.75" customHeight="1" x14ac:dyDescent="0.45">
      <c r="S806" s="5"/>
      <c r="T806" s="5"/>
      <c r="U806" s="5"/>
      <c r="V806" s="5"/>
      <c r="W806" s="45"/>
      <c r="Y806" s="4"/>
    </row>
    <row r="807" spans="19:25" ht="15.75" customHeight="1" x14ac:dyDescent="0.45">
      <c r="S807" s="5"/>
      <c r="T807" s="5"/>
      <c r="U807" s="5"/>
      <c r="V807" s="5"/>
      <c r="W807" s="45"/>
      <c r="Y807" s="4"/>
    </row>
    <row r="808" spans="19:25" ht="15.75" customHeight="1" x14ac:dyDescent="0.45">
      <c r="S808" s="5"/>
      <c r="T808" s="5"/>
      <c r="U808" s="5"/>
      <c r="V808" s="5"/>
      <c r="W808" s="45"/>
      <c r="Y808" s="4"/>
    </row>
    <row r="809" spans="19:25" ht="15.75" customHeight="1" x14ac:dyDescent="0.45">
      <c r="S809" s="5"/>
      <c r="T809" s="5"/>
      <c r="U809" s="5"/>
      <c r="V809" s="5"/>
      <c r="W809" s="45"/>
      <c r="Y809" s="4"/>
    </row>
    <row r="810" spans="19:25" ht="15.75" customHeight="1" x14ac:dyDescent="0.45">
      <c r="S810" s="5"/>
      <c r="T810" s="5"/>
      <c r="U810" s="5"/>
      <c r="V810" s="5"/>
      <c r="W810" s="45"/>
      <c r="Y810" s="4"/>
    </row>
    <row r="811" spans="19:25" ht="15.75" customHeight="1" x14ac:dyDescent="0.45">
      <c r="S811" s="5"/>
      <c r="T811" s="5"/>
      <c r="U811" s="5"/>
      <c r="V811" s="5"/>
      <c r="W811" s="45"/>
      <c r="Y811" s="4"/>
    </row>
    <row r="812" spans="19:25" ht="15.75" customHeight="1" x14ac:dyDescent="0.45">
      <c r="S812" s="5"/>
      <c r="T812" s="5"/>
      <c r="U812" s="5"/>
      <c r="V812" s="5"/>
      <c r="W812" s="45"/>
      <c r="Y812" s="4"/>
    </row>
    <row r="813" spans="19:25" ht="15.75" customHeight="1" x14ac:dyDescent="0.45">
      <c r="S813" s="5"/>
      <c r="T813" s="5"/>
      <c r="U813" s="5"/>
      <c r="V813" s="5"/>
      <c r="W813" s="45"/>
      <c r="Y813" s="4"/>
    </row>
    <row r="814" spans="19:25" ht="15.75" customHeight="1" x14ac:dyDescent="0.45">
      <c r="S814" s="5"/>
      <c r="T814" s="5"/>
      <c r="U814" s="5"/>
      <c r="V814" s="5"/>
      <c r="W814" s="45"/>
      <c r="Y814" s="4"/>
    </row>
    <row r="815" spans="19:25" ht="15.75" customHeight="1" x14ac:dyDescent="0.45">
      <c r="S815" s="5"/>
      <c r="T815" s="5"/>
      <c r="U815" s="5"/>
      <c r="V815" s="5"/>
      <c r="W815" s="45"/>
      <c r="Y815" s="4"/>
    </row>
    <row r="816" spans="19:25" ht="15.75" customHeight="1" x14ac:dyDescent="0.45">
      <c r="S816" s="5"/>
      <c r="T816" s="5"/>
      <c r="U816" s="5"/>
      <c r="V816" s="5"/>
      <c r="W816" s="45"/>
      <c r="Y816" s="4"/>
    </row>
    <row r="817" spans="19:25" ht="15.75" customHeight="1" x14ac:dyDescent="0.45">
      <c r="S817" s="5"/>
      <c r="T817" s="5"/>
      <c r="U817" s="5"/>
      <c r="V817" s="5"/>
      <c r="W817" s="45"/>
      <c r="Y817" s="4"/>
    </row>
    <row r="818" spans="19:25" ht="15.75" customHeight="1" x14ac:dyDescent="0.45">
      <c r="S818" s="5"/>
      <c r="T818" s="5"/>
      <c r="U818" s="5"/>
      <c r="V818" s="5"/>
      <c r="W818" s="45"/>
      <c r="Y818" s="4"/>
    </row>
    <row r="819" spans="19:25" ht="15.75" customHeight="1" x14ac:dyDescent="0.45">
      <c r="S819" s="5"/>
      <c r="T819" s="5"/>
      <c r="U819" s="5"/>
      <c r="V819" s="5"/>
      <c r="W819" s="45"/>
      <c r="Y819" s="4"/>
    </row>
    <row r="820" spans="19:25" ht="15.75" customHeight="1" x14ac:dyDescent="0.45">
      <c r="S820" s="5"/>
      <c r="T820" s="5"/>
      <c r="U820" s="5"/>
      <c r="V820" s="5"/>
      <c r="W820" s="45"/>
      <c r="Y820" s="4"/>
    </row>
    <row r="821" spans="19:25" ht="15.75" customHeight="1" x14ac:dyDescent="0.45">
      <c r="S821" s="5"/>
      <c r="T821" s="5"/>
      <c r="U821" s="5"/>
      <c r="V821" s="5"/>
      <c r="W821" s="45"/>
      <c r="Y821" s="4"/>
    </row>
    <row r="822" spans="19:25" ht="15.75" customHeight="1" x14ac:dyDescent="0.45">
      <c r="S822" s="5"/>
      <c r="T822" s="5"/>
      <c r="U822" s="5"/>
      <c r="V822" s="5"/>
      <c r="W822" s="45"/>
      <c r="Y822" s="4"/>
    </row>
    <row r="823" spans="19:25" ht="15.75" customHeight="1" x14ac:dyDescent="0.45">
      <c r="S823" s="5"/>
      <c r="T823" s="5"/>
      <c r="U823" s="5"/>
      <c r="V823" s="5"/>
      <c r="W823" s="45"/>
      <c r="Y823" s="4"/>
    </row>
    <row r="824" spans="19:25" ht="15.75" customHeight="1" x14ac:dyDescent="0.45">
      <c r="S824" s="5"/>
      <c r="T824" s="5"/>
      <c r="U824" s="5"/>
      <c r="V824" s="5"/>
      <c r="W824" s="45"/>
      <c r="Y824" s="4"/>
    </row>
    <row r="825" spans="19:25" ht="15.75" customHeight="1" x14ac:dyDescent="0.45">
      <c r="S825" s="5"/>
      <c r="T825" s="5"/>
      <c r="U825" s="5"/>
      <c r="V825" s="5"/>
      <c r="W825" s="45"/>
      <c r="Y825" s="4"/>
    </row>
    <row r="826" spans="19:25" ht="15.75" customHeight="1" x14ac:dyDescent="0.45">
      <c r="S826" s="5"/>
      <c r="T826" s="5"/>
      <c r="U826" s="5"/>
      <c r="V826" s="5"/>
      <c r="W826" s="45"/>
      <c r="Y826" s="4"/>
    </row>
    <row r="827" spans="19:25" ht="15.75" customHeight="1" x14ac:dyDescent="0.45">
      <c r="S827" s="5"/>
      <c r="T827" s="5"/>
      <c r="U827" s="5"/>
      <c r="V827" s="5"/>
      <c r="W827" s="45"/>
      <c r="Y827" s="4"/>
    </row>
    <row r="828" spans="19:25" ht="15.75" customHeight="1" x14ac:dyDescent="0.45">
      <c r="S828" s="5"/>
      <c r="T828" s="5"/>
      <c r="U828" s="5"/>
      <c r="V828" s="5"/>
      <c r="W828" s="45"/>
      <c r="Y828" s="4"/>
    </row>
    <row r="829" spans="19:25" ht="15.75" customHeight="1" x14ac:dyDescent="0.45">
      <c r="S829" s="5"/>
      <c r="T829" s="5"/>
      <c r="U829" s="5"/>
      <c r="V829" s="5"/>
      <c r="W829" s="45"/>
      <c r="Y829" s="4"/>
    </row>
    <row r="830" spans="19:25" ht="15.75" customHeight="1" x14ac:dyDescent="0.45">
      <c r="S830" s="5"/>
      <c r="T830" s="5"/>
      <c r="U830" s="5"/>
      <c r="V830" s="5"/>
      <c r="W830" s="45"/>
      <c r="Y830" s="4"/>
    </row>
    <row r="831" spans="19:25" ht="15.75" customHeight="1" x14ac:dyDescent="0.45">
      <c r="S831" s="5"/>
      <c r="T831" s="5"/>
      <c r="U831" s="5"/>
      <c r="V831" s="5"/>
      <c r="W831" s="45"/>
      <c r="Y831" s="4"/>
    </row>
    <row r="832" spans="19:25" ht="15.75" customHeight="1" x14ac:dyDescent="0.45">
      <c r="S832" s="5"/>
      <c r="T832" s="5"/>
      <c r="U832" s="5"/>
      <c r="V832" s="5"/>
      <c r="W832" s="45"/>
      <c r="Y832" s="4"/>
    </row>
    <row r="833" spans="19:25" ht="15.75" customHeight="1" x14ac:dyDescent="0.45">
      <c r="S833" s="5"/>
      <c r="T833" s="5"/>
      <c r="U833" s="5"/>
      <c r="V833" s="5"/>
      <c r="W833" s="45"/>
      <c r="Y833" s="4"/>
    </row>
    <row r="834" spans="19:25" ht="15.75" customHeight="1" x14ac:dyDescent="0.45">
      <c r="S834" s="5"/>
      <c r="T834" s="5"/>
      <c r="U834" s="5"/>
      <c r="V834" s="5"/>
      <c r="W834" s="45"/>
      <c r="Y834" s="4"/>
    </row>
    <row r="835" spans="19:25" ht="15.75" customHeight="1" x14ac:dyDescent="0.45">
      <c r="S835" s="5"/>
      <c r="T835" s="5"/>
      <c r="U835" s="5"/>
      <c r="V835" s="5"/>
      <c r="W835" s="45"/>
      <c r="Y835" s="4"/>
    </row>
    <row r="836" spans="19:25" ht="15.75" customHeight="1" x14ac:dyDescent="0.45">
      <c r="S836" s="5"/>
      <c r="T836" s="5"/>
      <c r="U836" s="5"/>
      <c r="V836" s="5"/>
      <c r="W836" s="45"/>
      <c r="Y836" s="4"/>
    </row>
    <row r="837" spans="19:25" ht="15.75" customHeight="1" x14ac:dyDescent="0.45">
      <c r="S837" s="5"/>
      <c r="T837" s="5"/>
      <c r="U837" s="5"/>
      <c r="V837" s="5"/>
      <c r="W837" s="45"/>
      <c r="Y837" s="4"/>
    </row>
    <row r="838" spans="19:25" ht="15.75" customHeight="1" x14ac:dyDescent="0.45">
      <c r="S838" s="5"/>
      <c r="T838" s="5"/>
      <c r="U838" s="5"/>
      <c r="V838" s="5"/>
      <c r="W838" s="45"/>
      <c r="Y838" s="4"/>
    </row>
    <row r="839" spans="19:25" ht="15.75" customHeight="1" x14ac:dyDescent="0.45">
      <c r="S839" s="5"/>
      <c r="T839" s="5"/>
      <c r="U839" s="5"/>
      <c r="V839" s="5"/>
      <c r="W839" s="45"/>
      <c r="Y839" s="4"/>
    </row>
    <row r="840" spans="19:25" ht="15.75" customHeight="1" x14ac:dyDescent="0.45">
      <c r="S840" s="5"/>
      <c r="T840" s="5"/>
      <c r="U840" s="5"/>
      <c r="V840" s="5"/>
      <c r="W840" s="45"/>
      <c r="Y840" s="4"/>
    </row>
    <row r="841" spans="19:25" ht="15.75" customHeight="1" x14ac:dyDescent="0.45">
      <c r="S841" s="5"/>
      <c r="T841" s="5"/>
      <c r="U841" s="5"/>
      <c r="V841" s="5"/>
      <c r="W841" s="45"/>
      <c r="Y841" s="4"/>
    </row>
    <row r="842" spans="19:25" ht="15.75" customHeight="1" x14ac:dyDescent="0.45">
      <c r="S842" s="5"/>
      <c r="T842" s="5"/>
      <c r="U842" s="5"/>
      <c r="V842" s="5"/>
      <c r="W842" s="45"/>
      <c r="Y842" s="4"/>
    </row>
    <row r="843" spans="19:25" ht="15.75" customHeight="1" x14ac:dyDescent="0.45">
      <c r="S843" s="5"/>
      <c r="T843" s="5"/>
      <c r="U843" s="5"/>
      <c r="V843" s="5"/>
      <c r="W843" s="45"/>
      <c r="Y843" s="4"/>
    </row>
    <row r="844" spans="19:25" ht="15.75" customHeight="1" x14ac:dyDescent="0.45">
      <c r="S844" s="5"/>
      <c r="T844" s="5"/>
      <c r="U844" s="5"/>
      <c r="V844" s="5"/>
      <c r="W844" s="45"/>
      <c r="Y844" s="4"/>
    </row>
    <row r="845" spans="19:25" ht="15.75" customHeight="1" x14ac:dyDescent="0.45">
      <c r="S845" s="5"/>
      <c r="T845" s="5"/>
      <c r="U845" s="5"/>
      <c r="V845" s="5"/>
      <c r="W845" s="45"/>
      <c r="Y845" s="4"/>
    </row>
    <row r="846" spans="19:25" ht="15.75" customHeight="1" x14ac:dyDescent="0.45">
      <c r="S846" s="5"/>
      <c r="T846" s="5"/>
      <c r="U846" s="5"/>
      <c r="V846" s="5"/>
      <c r="W846" s="45"/>
      <c r="Y846" s="4"/>
    </row>
    <row r="847" spans="19:25" ht="15.75" customHeight="1" x14ac:dyDescent="0.45">
      <c r="S847" s="5"/>
      <c r="T847" s="5"/>
      <c r="U847" s="5"/>
      <c r="V847" s="5"/>
      <c r="W847" s="45"/>
      <c r="Y847" s="4"/>
    </row>
    <row r="848" spans="19:25" ht="15.75" customHeight="1" x14ac:dyDescent="0.45">
      <c r="S848" s="5"/>
      <c r="T848" s="5"/>
      <c r="U848" s="5"/>
      <c r="V848" s="5"/>
      <c r="W848" s="45"/>
      <c r="Y848" s="4"/>
    </row>
    <row r="849" spans="19:25" ht="15.75" customHeight="1" x14ac:dyDescent="0.45">
      <c r="S849" s="5"/>
      <c r="T849" s="5"/>
      <c r="U849" s="5"/>
      <c r="V849" s="5"/>
      <c r="W849" s="45"/>
      <c r="Y849" s="4"/>
    </row>
    <row r="850" spans="19:25" ht="15.75" customHeight="1" x14ac:dyDescent="0.45">
      <c r="S850" s="5"/>
      <c r="T850" s="5"/>
      <c r="U850" s="5"/>
      <c r="V850" s="5"/>
      <c r="W850" s="45"/>
      <c r="Y850" s="4"/>
    </row>
    <row r="851" spans="19:25" ht="15.75" customHeight="1" x14ac:dyDescent="0.45">
      <c r="S851" s="5"/>
      <c r="T851" s="5"/>
      <c r="U851" s="5"/>
      <c r="V851" s="5"/>
      <c r="W851" s="45"/>
      <c r="Y851" s="4"/>
    </row>
    <row r="852" spans="19:25" ht="15.75" customHeight="1" x14ac:dyDescent="0.45">
      <c r="S852" s="5"/>
      <c r="T852" s="5"/>
      <c r="U852" s="5"/>
      <c r="V852" s="5"/>
      <c r="W852" s="45"/>
      <c r="Y852" s="4"/>
    </row>
    <row r="853" spans="19:25" ht="15.75" customHeight="1" x14ac:dyDescent="0.45">
      <c r="S853" s="5"/>
      <c r="T853" s="5"/>
      <c r="U853" s="5"/>
      <c r="V853" s="5"/>
      <c r="W853" s="45"/>
      <c r="Y853" s="4"/>
    </row>
    <row r="854" spans="19:25" ht="15.75" customHeight="1" x14ac:dyDescent="0.45">
      <c r="S854" s="5"/>
      <c r="T854" s="5"/>
      <c r="U854" s="5"/>
      <c r="V854" s="5"/>
      <c r="W854" s="45"/>
      <c r="Y854" s="4"/>
    </row>
    <row r="855" spans="19:25" ht="15.75" customHeight="1" x14ac:dyDescent="0.45">
      <c r="S855" s="5"/>
      <c r="T855" s="5"/>
      <c r="U855" s="5"/>
      <c r="V855" s="5"/>
      <c r="W855" s="45"/>
      <c r="Y855" s="4"/>
    </row>
    <row r="856" spans="19:25" ht="15.75" customHeight="1" x14ac:dyDescent="0.45">
      <c r="S856" s="5"/>
      <c r="T856" s="5"/>
      <c r="U856" s="5"/>
      <c r="V856" s="5"/>
      <c r="W856" s="45"/>
      <c r="Y856" s="4"/>
    </row>
    <row r="857" spans="19:25" ht="15.75" customHeight="1" x14ac:dyDescent="0.45">
      <c r="S857" s="5"/>
      <c r="T857" s="5"/>
      <c r="U857" s="5"/>
      <c r="V857" s="5"/>
      <c r="W857" s="45"/>
      <c r="Y857" s="4"/>
    </row>
    <row r="858" spans="19:25" ht="15.75" customHeight="1" x14ac:dyDescent="0.45">
      <c r="S858" s="5"/>
      <c r="T858" s="5"/>
      <c r="U858" s="5"/>
      <c r="V858" s="5"/>
      <c r="W858" s="45"/>
      <c r="Y858" s="4"/>
    </row>
    <row r="859" spans="19:25" ht="15.75" customHeight="1" x14ac:dyDescent="0.45">
      <c r="S859" s="5"/>
      <c r="T859" s="5"/>
      <c r="U859" s="5"/>
      <c r="V859" s="5"/>
      <c r="W859" s="45"/>
      <c r="Y859" s="4"/>
    </row>
    <row r="860" spans="19:25" ht="15.75" customHeight="1" x14ac:dyDescent="0.45">
      <c r="S860" s="5"/>
      <c r="T860" s="5"/>
      <c r="U860" s="5"/>
      <c r="V860" s="5"/>
      <c r="W860" s="45"/>
      <c r="Y860" s="4"/>
    </row>
    <row r="861" spans="19:25" ht="15.75" customHeight="1" x14ac:dyDescent="0.45">
      <c r="S861" s="5"/>
      <c r="T861" s="5"/>
      <c r="U861" s="5"/>
      <c r="V861" s="5"/>
      <c r="W861" s="45"/>
      <c r="Y861" s="4"/>
    </row>
    <row r="862" spans="19:25" ht="15.75" customHeight="1" x14ac:dyDescent="0.45">
      <c r="S862" s="5"/>
      <c r="T862" s="5"/>
      <c r="U862" s="5"/>
      <c r="V862" s="5"/>
      <c r="W862" s="45"/>
      <c r="Y862" s="4"/>
    </row>
    <row r="863" spans="19:25" ht="15.75" customHeight="1" x14ac:dyDescent="0.45">
      <c r="S863" s="5"/>
      <c r="T863" s="5"/>
      <c r="U863" s="5"/>
      <c r="V863" s="5"/>
      <c r="W863" s="45"/>
      <c r="Y863" s="4"/>
    </row>
    <row r="864" spans="19:25" ht="15.75" customHeight="1" x14ac:dyDescent="0.45">
      <c r="S864" s="5"/>
      <c r="T864" s="5"/>
      <c r="U864" s="5"/>
      <c r="V864" s="5"/>
      <c r="W864" s="45"/>
      <c r="Y864" s="4"/>
    </row>
    <row r="865" spans="19:25" ht="15.75" customHeight="1" x14ac:dyDescent="0.45">
      <c r="S865" s="5"/>
      <c r="T865" s="5"/>
      <c r="U865" s="5"/>
      <c r="V865" s="5"/>
      <c r="W865" s="45"/>
      <c r="Y865" s="4"/>
    </row>
    <row r="866" spans="19:25" ht="15.75" customHeight="1" x14ac:dyDescent="0.45">
      <c r="S866" s="5"/>
      <c r="T866" s="5"/>
      <c r="U866" s="5"/>
      <c r="V866" s="5"/>
      <c r="W866" s="45"/>
      <c r="Y866" s="4"/>
    </row>
    <row r="867" spans="19:25" ht="15.75" customHeight="1" x14ac:dyDescent="0.45">
      <c r="S867" s="5"/>
      <c r="T867" s="5"/>
      <c r="U867" s="5"/>
      <c r="V867" s="5"/>
      <c r="W867" s="45"/>
      <c r="Y867" s="4"/>
    </row>
    <row r="868" spans="19:25" ht="15.75" customHeight="1" x14ac:dyDescent="0.45">
      <c r="S868" s="5"/>
      <c r="T868" s="5"/>
      <c r="U868" s="5"/>
      <c r="V868" s="5"/>
      <c r="W868" s="45"/>
      <c r="Y868" s="4"/>
    </row>
    <row r="869" spans="19:25" ht="15.75" customHeight="1" x14ac:dyDescent="0.45">
      <c r="S869" s="5"/>
      <c r="T869" s="5"/>
      <c r="U869" s="5"/>
      <c r="V869" s="5"/>
      <c r="W869" s="45"/>
      <c r="Y869" s="4"/>
    </row>
    <row r="870" spans="19:25" ht="15.75" customHeight="1" x14ac:dyDescent="0.45">
      <c r="S870" s="5"/>
      <c r="T870" s="5"/>
      <c r="U870" s="5"/>
      <c r="V870" s="5"/>
      <c r="W870" s="45"/>
      <c r="Y870" s="4"/>
    </row>
    <row r="871" spans="19:25" ht="15.75" customHeight="1" x14ac:dyDescent="0.45">
      <c r="S871" s="5"/>
      <c r="T871" s="5"/>
      <c r="U871" s="5"/>
      <c r="V871" s="5"/>
      <c r="W871" s="45"/>
      <c r="Y871" s="4"/>
    </row>
    <row r="872" spans="19:25" ht="15.75" customHeight="1" x14ac:dyDescent="0.45">
      <c r="S872" s="5"/>
      <c r="T872" s="5"/>
      <c r="U872" s="5"/>
      <c r="V872" s="5"/>
      <c r="W872" s="45"/>
      <c r="Y872" s="4"/>
    </row>
    <row r="873" spans="19:25" ht="15.75" customHeight="1" x14ac:dyDescent="0.45">
      <c r="S873" s="5"/>
      <c r="T873" s="5"/>
      <c r="U873" s="5"/>
      <c r="V873" s="5"/>
      <c r="W873" s="45"/>
      <c r="Y873" s="4"/>
    </row>
    <row r="874" spans="19:25" ht="15.75" customHeight="1" x14ac:dyDescent="0.45">
      <c r="S874" s="5"/>
      <c r="T874" s="5"/>
      <c r="U874" s="5"/>
      <c r="V874" s="5"/>
      <c r="W874" s="45"/>
      <c r="Y874" s="4"/>
    </row>
    <row r="875" spans="19:25" ht="15.75" customHeight="1" x14ac:dyDescent="0.45">
      <c r="S875" s="5"/>
      <c r="T875" s="5"/>
      <c r="U875" s="5"/>
      <c r="V875" s="5"/>
      <c r="W875" s="45"/>
      <c r="Y875" s="4"/>
    </row>
    <row r="876" spans="19:25" ht="15.75" customHeight="1" x14ac:dyDescent="0.45">
      <c r="S876" s="5"/>
      <c r="T876" s="5"/>
      <c r="U876" s="5"/>
      <c r="V876" s="5"/>
      <c r="W876" s="45"/>
      <c r="Y876" s="4"/>
    </row>
    <row r="877" spans="19:25" ht="15.75" customHeight="1" x14ac:dyDescent="0.45">
      <c r="S877" s="5"/>
      <c r="T877" s="5"/>
      <c r="U877" s="5"/>
      <c r="V877" s="5"/>
      <c r="W877" s="45"/>
      <c r="Y877" s="4"/>
    </row>
    <row r="878" spans="19:25" ht="15.75" customHeight="1" x14ac:dyDescent="0.45">
      <c r="S878" s="5"/>
      <c r="T878" s="5"/>
      <c r="U878" s="5"/>
      <c r="V878" s="5"/>
      <c r="W878" s="45"/>
      <c r="Y878" s="4"/>
    </row>
    <row r="879" spans="19:25" ht="15.75" customHeight="1" x14ac:dyDescent="0.45">
      <c r="S879" s="5"/>
      <c r="T879" s="5"/>
      <c r="U879" s="5"/>
      <c r="V879" s="5"/>
      <c r="W879" s="45"/>
      <c r="Y879" s="4"/>
    </row>
    <row r="880" spans="19:25" ht="15.75" customHeight="1" x14ac:dyDescent="0.45">
      <c r="S880" s="5"/>
      <c r="T880" s="5"/>
      <c r="U880" s="5"/>
      <c r="V880" s="5"/>
      <c r="W880" s="45"/>
      <c r="Y880" s="4"/>
    </row>
    <row r="881" spans="19:25" ht="15.75" customHeight="1" x14ac:dyDescent="0.45">
      <c r="S881" s="5"/>
      <c r="T881" s="5"/>
      <c r="U881" s="5"/>
      <c r="V881" s="5"/>
      <c r="W881" s="45"/>
      <c r="Y881" s="4"/>
    </row>
    <row r="882" spans="19:25" ht="15.75" customHeight="1" x14ac:dyDescent="0.45">
      <c r="S882" s="5"/>
      <c r="T882" s="5"/>
      <c r="U882" s="5"/>
      <c r="V882" s="5"/>
      <c r="W882" s="45"/>
      <c r="Y882" s="4"/>
    </row>
    <row r="883" spans="19:25" ht="15.75" customHeight="1" x14ac:dyDescent="0.45">
      <c r="S883" s="5"/>
      <c r="T883" s="5"/>
      <c r="U883" s="5"/>
      <c r="V883" s="5"/>
      <c r="W883" s="45"/>
      <c r="Y883" s="4"/>
    </row>
    <row r="884" spans="19:25" ht="15.75" customHeight="1" x14ac:dyDescent="0.45">
      <c r="S884" s="5"/>
      <c r="T884" s="5"/>
      <c r="U884" s="5"/>
      <c r="V884" s="5"/>
      <c r="W884" s="45"/>
      <c r="Y884" s="4"/>
    </row>
    <row r="885" spans="19:25" ht="15.75" customHeight="1" x14ac:dyDescent="0.45">
      <c r="S885" s="5"/>
      <c r="T885" s="5"/>
      <c r="U885" s="5"/>
      <c r="V885" s="5"/>
      <c r="W885" s="45"/>
      <c r="Y885" s="4"/>
    </row>
    <row r="886" spans="19:25" ht="15.75" customHeight="1" x14ac:dyDescent="0.45">
      <c r="S886" s="5"/>
      <c r="T886" s="5"/>
      <c r="U886" s="5"/>
      <c r="V886" s="5"/>
      <c r="W886" s="45"/>
      <c r="Y886" s="4"/>
    </row>
    <row r="887" spans="19:25" ht="15.75" customHeight="1" x14ac:dyDescent="0.45">
      <c r="S887" s="5"/>
      <c r="T887" s="5"/>
      <c r="U887" s="5"/>
      <c r="V887" s="5"/>
      <c r="W887" s="45"/>
      <c r="Y887" s="4"/>
    </row>
    <row r="888" spans="19:25" ht="15.75" customHeight="1" x14ac:dyDescent="0.45">
      <c r="S888" s="5"/>
      <c r="T888" s="5"/>
      <c r="U888" s="5"/>
      <c r="V888" s="5"/>
      <c r="W888" s="45"/>
      <c r="Y888" s="4"/>
    </row>
    <row r="889" spans="19:25" ht="15.75" customHeight="1" x14ac:dyDescent="0.45">
      <c r="S889" s="5"/>
      <c r="T889" s="5"/>
      <c r="U889" s="5"/>
      <c r="V889" s="5"/>
      <c r="W889" s="45"/>
      <c r="Y889" s="4"/>
    </row>
    <row r="890" spans="19:25" ht="15.75" customHeight="1" x14ac:dyDescent="0.45">
      <c r="S890" s="5"/>
      <c r="T890" s="5"/>
      <c r="U890" s="5"/>
      <c r="V890" s="5"/>
      <c r="W890" s="45"/>
      <c r="Y890" s="4"/>
    </row>
    <row r="891" spans="19:25" ht="15.75" customHeight="1" x14ac:dyDescent="0.45">
      <c r="S891" s="5"/>
      <c r="T891" s="5"/>
      <c r="U891" s="5"/>
      <c r="V891" s="5"/>
      <c r="W891" s="45"/>
      <c r="Y891" s="4"/>
    </row>
    <row r="892" spans="19:25" ht="15.75" customHeight="1" x14ac:dyDescent="0.45">
      <c r="S892" s="5"/>
      <c r="T892" s="5"/>
      <c r="U892" s="5"/>
      <c r="V892" s="5"/>
      <c r="W892" s="45"/>
      <c r="Y892" s="4"/>
    </row>
    <row r="893" spans="19:25" ht="15.75" customHeight="1" x14ac:dyDescent="0.45">
      <c r="S893" s="5"/>
      <c r="T893" s="5"/>
      <c r="U893" s="5"/>
      <c r="V893" s="5"/>
      <c r="W893" s="45"/>
      <c r="Y893" s="4"/>
    </row>
    <row r="894" spans="19:25" ht="15.75" customHeight="1" x14ac:dyDescent="0.45">
      <c r="S894" s="5"/>
      <c r="T894" s="5"/>
      <c r="U894" s="5"/>
      <c r="V894" s="5"/>
      <c r="W894" s="45"/>
      <c r="Y894" s="4"/>
    </row>
    <row r="895" spans="19:25" ht="15.75" customHeight="1" x14ac:dyDescent="0.45">
      <c r="S895" s="5"/>
      <c r="T895" s="5"/>
      <c r="U895" s="5"/>
      <c r="V895" s="5"/>
      <c r="W895" s="45"/>
      <c r="Y895" s="4"/>
    </row>
    <row r="896" spans="19:25" ht="15.75" customHeight="1" x14ac:dyDescent="0.45">
      <c r="S896" s="5"/>
      <c r="T896" s="5"/>
      <c r="U896" s="5"/>
      <c r="V896" s="5"/>
      <c r="W896" s="45"/>
      <c r="Y896" s="4"/>
    </row>
    <row r="897" spans="19:25" ht="15.75" customHeight="1" x14ac:dyDescent="0.45">
      <c r="S897" s="5"/>
      <c r="T897" s="5"/>
      <c r="U897" s="5"/>
      <c r="V897" s="5"/>
      <c r="W897" s="45"/>
      <c r="Y897" s="4"/>
    </row>
    <row r="898" spans="19:25" ht="15.75" customHeight="1" x14ac:dyDescent="0.45">
      <c r="S898" s="5"/>
      <c r="T898" s="5"/>
      <c r="U898" s="5"/>
      <c r="V898" s="5"/>
      <c r="W898" s="45"/>
      <c r="Y898" s="4"/>
    </row>
    <row r="899" spans="19:25" ht="15.75" customHeight="1" x14ac:dyDescent="0.45">
      <c r="S899" s="5"/>
      <c r="T899" s="5"/>
      <c r="U899" s="5"/>
      <c r="V899" s="5"/>
      <c r="W899" s="45"/>
      <c r="Y899" s="4"/>
    </row>
    <row r="900" spans="19:25" ht="15.75" customHeight="1" x14ac:dyDescent="0.45">
      <c r="S900" s="5"/>
      <c r="T900" s="5"/>
      <c r="U900" s="5"/>
      <c r="V900" s="5"/>
      <c r="W900" s="45"/>
      <c r="Y900" s="4"/>
    </row>
    <row r="901" spans="19:25" ht="15.75" customHeight="1" x14ac:dyDescent="0.45">
      <c r="S901" s="5"/>
      <c r="T901" s="5"/>
      <c r="U901" s="5"/>
      <c r="V901" s="5"/>
      <c r="W901" s="45"/>
      <c r="Y901" s="4"/>
    </row>
    <row r="902" spans="19:25" ht="15.75" customHeight="1" x14ac:dyDescent="0.45">
      <c r="S902" s="5"/>
      <c r="T902" s="5"/>
      <c r="U902" s="5"/>
      <c r="V902" s="5"/>
      <c r="W902" s="45"/>
      <c r="Y902" s="4"/>
    </row>
    <row r="903" spans="19:25" ht="15.75" customHeight="1" x14ac:dyDescent="0.45">
      <c r="S903" s="5"/>
      <c r="T903" s="5"/>
      <c r="U903" s="5"/>
      <c r="V903" s="5"/>
      <c r="W903" s="45"/>
      <c r="Y903" s="4"/>
    </row>
    <row r="904" spans="19:25" ht="15.75" customHeight="1" x14ac:dyDescent="0.45">
      <c r="S904" s="5"/>
      <c r="T904" s="5"/>
      <c r="U904" s="5"/>
      <c r="V904" s="5"/>
      <c r="W904" s="45"/>
      <c r="Y904" s="4"/>
    </row>
    <row r="905" spans="19:25" ht="15.75" customHeight="1" x14ac:dyDescent="0.45">
      <c r="S905" s="5"/>
      <c r="T905" s="5"/>
      <c r="U905" s="5"/>
      <c r="V905" s="5"/>
      <c r="W905" s="45"/>
      <c r="Y905" s="4"/>
    </row>
    <row r="906" spans="19:25" ht="15.75" customHeight="1" x14ac:dyDescent="0.45">
      <c r="S906" s="5"/>
      <c r="T906" s="5"/>
      <c r="U906" s="5"/>
      <c r="V906" s="5"/>
      <c r="W906" s="45"/>
      <c r="Y906" s="4"/>
    </row>
    <row r="907" spans="19:25" ht="15.75" customHeight="1" x14ac:dyDescent="0.45">
      <c r="S907" s="5"/>
      <c r="T907" s="5"/>
      <c r="U907" s="5"/>
      <c r="V907" s="5"/>
      <c r="W907" s="45"/>
      <c r="Y907" s="4"/>
    </row>
    <row r="908" spans="19:25" ht="15.75" customHeight="1" x14ac:dyDescent="0.45">
      <c r="S908" s="5"/>
      <c r="T908" s="5"/>
      <c r="U908" s="5"/>
      <c r="V908" s="5"/>
      <c r="W908" s="45"/>
      <c r="Y908" s="4"/>
    </row>
    <row r="909" spans="19:25" ht="15.75" customHeight="1" x14ac:dyDescent="0.45">
      <c r="S909" s="5"/>
      <c r="T909" s="5"/>
      <c r="U909" s="5"/>
      <c r="V909" s="5"/>
      <c r="W909" s="45"/>
      <c r="Y909" s="4"/>
    </row>
    <row r="910" spans="19:25" ht="15.75" customHeight="1" x14ac:dyDescent="0.45">
      <c r="S910" s="5"/>
      <c r="T910" s="5"/>
      <c r="U910" s="5"/>
      <c r="V910" s="5"/>
      <c r="W910" s="45"/>
      <c r="Y910" s="4"/>
    </row>
    <row r="911" spans="19:25" ht="15.75" customHeight="1" x14ac:dyDescent="0.45">
      <c r="S911" s="5"/>
      <c r="T911" s="5"/>
      <c r="U911" s="5"/>
      <c r="V911" s="5"/>
      <c r="W911" s="45"/>
      <c r="Y911" s="4"/>
    </row>
    <row r="912" spans="19:25" ht="15.75" customHeight="1" x14ac:dyDescent="0.45">
      <c r="S912" s="5"/>
      <c r="T912" s="5"/>
      <c r="U912" s="5"/>
      <c r="V912" s="5"/>
      <c r="W912" s="45"/>
      <c r="Y912" s="4"/>
    </row>
    <row r="913" spans="19:25" ht="15.75" customHeight="1" x14ac:dyDescent="0.45">
      <c r="S913" s="5"/>
      <c r="T913" s="5"/>
      <c r="U913" s="5"/>
      <c r="V913" s="5"/>
      <c r="W913" s="45"/>
      <c r="Y913" s="4"/>
    </row>
    <row r="914" spans="19:25" ht="15.75" customHeight="1" x14ac:dyDescent="0.45">
      <c r="S914" s="5"/>
      <c r="T914" s="5"/>
      <c r="U914" s="5"/>
      <c r="V914" s="5"/>
      <c r="W914" s="45"/>
      <c r="Y914" s="4"/>
    </row>
    <row r="915" spans="19:25" ht="15.75" customHeight="1" x14ac:dyDescent="0.45">
      <c r="S915" s="5"/>
      <c r="T915" s="5"/>
      <c r="U915" s="5"/>
      <c r="V915" s="5"/>
      <c r="W915" s="45"/>
      <c r="Y915" s="4"/>
    </row>
    <row r="916" spans="19:25" ht="15.75" customHeight="1" x14ac:dyDescent="0.45">
      <c r="S916" s="5"/>
      <c r="T916" s="5"/>
      <c r="U916" s="5"/>
      <c r="V916" s="5"/>
      <c r="W916" s="45"/>
      <c r="Y916" s="4"/>
    </row>
    <row r="917" spans="19:25" ht="15.75" customHeight="1" x14ac:dyDescent="0.45">
      <c r="S917" s="5"/>
      <c r="T917" s="5"/>
      <c r="U917" s="5"/>
      <c r="V917" s="5"/>
      <c r="W917" s="45"/>
      <c r="Y917" s="4"/>
    </row>
    <row r="918" spans="19:25" ht="15.75" customHeight="1" x14ac:dyDescent="0.45">
      <c r="S918" s="5"/>
      <c r="T918" s="5"/>
      <c r="U918" s="5"/>
      <c r="V918" s="5"/>
      <c r="W918" s="45"/>
      <c r="Y918" s="4"/>
    </row>
    <row r="919" spans="19:25" ht="15.75" customHeight="1" x14ac:dyDescent="0.45">
      <c r="S919" s="5"/>
      <c r="T919" s="5"/>
      <c r="U919" s="5"/>
      <c r="V919" s="5"/>
      <c r="W919" s="45"/>
      <c r="Y919" s="4"/>
    </row>
    <row r="920" spans="19:25" ht="15.75" customHeight="1" x14ac:dyDescent="0.45">
      <c r="S920" s="5"/>
      <c r="T920" s="5"/>
      <c r="U920" s="5"/>
      <c r="V920" s="5"/>
      <c r="W920" s="45"/>
      <c r="Y920" s="4"/>
    </row>
    <row r="921" spans="19:25" ht="15.75" customHeight="1" x14ac:dyDescent="0.45">
      <c r="S921" s="5"/>
      <c r="T921" s="5"/>
      <c r="U921" s="5"/>
      <c r="V921" s="5"/>
      <c r="W921" s="45"/>
      <c r="Y921" s="4"/>
    </row>
    <row r="922" spans="19:25" ht="15.75" customHeight="1" x14ac:dyDescent="0.45">
      <c r="S922" s="5"/>
      <c r="T922" s="5"/>
      <c r="U922" s="5"/>
      <c r="V922" s="5"/>
      <c r="W922" s="45"/>
      <c r="Y922" s="4"/>
    </row>
    <row r="923" spans="19:25" ht="15.75" customHeight="1" x14ac:dyDescent="0.45">
      <c r="S923" s="5"/>
      <c r="T923" s="5"/>
      <c r="U923" s="5"/>
      <c r="V923" s="5"/>
      <c r="W923" s="45"/>
      <c r="Y923" s="4"/>
    </row>
    <row r="924" spans="19:25" ht="15.75" customHeight="1" x14ac:dyDescent="0.45">
      <c r="S924" s="5"/>
      <c r="T924" s="5"/>
      <c r="U924" s="5"/>
      <c r="V924" s="5"/>
      <c r="W924" s="45"/>
      <c r="Y924" s="4"/>
    </row>
    <row r="925" spans="19:25" ht="15.75" customHeight="1" x14ac:dyDescent="0.45">
      <c r="S925" s="5"/>
      <c r="T925" s="5"/>
      <c r="U925" s="5"/>
      <c r="V925" s="5"/>
      <c r="W925" s="45"/>
      <c r="Y925" s="4"/>
    </row>
    <row r="926" spans="19:25" ht="15.75" customHeight="1" x14ac:dyDescent="0.45">
      <c r="S926" s="5"/>
      <c r="T926" s="5"/>
      <c r="U926" s="5"/>
      <c r="V926" s="5"/>
      <c r="W926" s="45"/>
      <c r="Y926" s="4"/>
    </row>
    <row r="927" spans="19:25" ht="15.75" customHeight="1" x14ac:dyDescent="0.45">
      <c r="S927" s="5"/>
      <c r="T927" s="5"/>
      <c r="U927" s="5"/>
      <c r="V927" s="5"/>
      <c r="W927" s="45"/>
      <c r="Y927" s="4"/>
    </row>
    <row r="928" spans="19:25" ht="15.75" customHeight="1" x14ac:dyDescent="0.45">
      <c r="S928" s="5"/>
      <c r="T928" s="5"/>
      <c r="U928" s="5"/>
      <c r="V928" s="5"/>
      <c r="W928" s="45"/>
      <c r="Y928" s="4"/>
    </row>
    <row r="929" spans="19:25" ht="15.75" customHeight="1" x14ac:dyDescent="0.45">
      <c r="S929" s="5"/>
      <c r="T929" s="5"/>
      <c r="U929" s="5"/>
      <c r="V929" s="5"/>
      <c r="W929" s="45"/>
      <c r="Y929" s="4"/>
    </row>
    <row r="930" spans="19:25" ht="15.75" customHeight="1" x14ac:dyDescent="0.45">
      <c r="S930" s="5"/>
      <c r="T930" s="5"/>
      <c r="U930" s="5"/>
      <c r="V930" s="5"/>
      <c r="W930" s="45"/>
      <c r="Y930" s="4"/>
    </row>
    <row r="931" spans="19:25" ht="15.75" customHeight="1" x14ac:dyDescent="0.45">
      <c r="S931" s="5"/>
      <c r="T931" s="5"/>
      <c r="U931" s="5"/>
      <c r="V931" s="5"/>
      <c r="W931" s="45"/>
      <c r="Y931" s="4"/>
    </row>
    <row r="932" spans="19:25" ht="15.75" customHeight="1" x14ac:dyDescent="0.45">
      <c r="S932" s="5"/>
      <c r="T932" s="5"/>
      <c r="U932" s="5"/>
      <c r="V932" s="5"/>
      <c r="W932" s="45"/>
      <c r="Y932" s="4"/>
    </row>
    <row r="933" spans="19:25" ht="15.75" customHeight="1" x14ac:dyDescent="0.45">
      <c r="S933" s="5"/>
      <c r="T933" s="5"/>
      <c r="U933" s="5"/>
      <c r="V933" s="5"/>
      <c r="W933" s="45"/>
      <c r="Y933" s="4"/>
    </row>
    <row r="934" spans="19:25" ht="15.75" customHeight="1" x14ac:dyDescent="0.45">
      <c r="S934" s="5"/>
      <c r="T934" s="5"/>
      <c r="U934" s="5"/>
      <c r="V934" s="5"/>
      <c r="W934" s="45"/>
      <c r="Y934" s="4"/>
    </row>
    <row r="935" spans="19:25" ht="15.75" customHeight="1" x14ac:dyDescent="0.45">
      <c r="S935" s="5"/>
      <c r="T935" s="5"/>
      <c r="U935" s="5"/>
      <c r="V935" s="5"/>
      <c r="W935" s="45"/>
      <c r="Y935" s="4"/>
    </row>
    <row r="936" spans="19:25" ht="15.75" customHeight="1" x14ac:dyDescent="0.45">
      <c r="S936" s="5"/>
      <c r="T936" s="5"/>
      <c r="U936" s="5"/>
      <c r="V936" s="5"/>
      <c r="W936" s="45"/>
      <c r="Y936" s="4"/>
    </row>
    <row r="937" spans="19:25" ht="15.75" customHeight="1" x14ac:dyDescent="0.45">
      <c r="S937" s="5"/>
      <c r="T937" s="5"/>
      <c r="U937" s="5"/>
      <c r="V937" s="5"/>
      <c r="W937" s="45"/>
      <c r="Y937" s="4"/>
    </row>
    <row r="938" spans="19:25" ht="15.75" customHeight="1" x14ac:dyDescent="0.45">
      <c r="S938" s="5"/>
      <c r="T938" s="5"/>
      <c r="U938" s="5"/>
      <c r="V938" s="5"/>
      <c r="W938" s="45"/>
      <c r="Y938" s="4"/>
    </row>
    <row r="939" spans="19:25" ht="15.75" customHeight="1" x14ac:dyDescent="0.45">
      <c r="S939" s="5"/>
      <c r="T939" s="5"/>
      <c r="U939" s="5"/>
      <c r="V939" s="5"/>
      <c r="W939" s="45"/>
      <c r="Y939" s="4"/>
    </row>
    <row r="940" spans="19:25" ht="15.75" customHeight="1" x14ac:dyDescent="0.45">
      <c r="S940" s="5"/>
      <c r="T940" s="5"/>
      <c r="U940" s="5"/>
      <c r="V940" s="5"/>
      <c r="W940" s="45"/>
      <c r="Y940" s="4"/>
    </row>
    <row r="941" spans="19:25" ht="15.75" customHeight="1" x14ac:dyDescent="0.45">
      <c r="S941" s="5"/>
      <c r="T941" s="5"/>
      <c r="U941" s="5"/>
      <c r="V941" s="5"/>
      <c r="W941" s="45"/>
      <c r="Y941" s="4"/>
    </row>
    <row r="942" spans="19:25" ht="15.75" customHeight="1" x14ac:dyDescent="0.45">
      <c r="S942" s="5"/>
      <c r="T942" s="5"/>
      <c r="U942" s="5"/>
      <c r="V942" s="5"/>
      <c r="W942" s="45"/>
      <c r="Y942" s="4"/>
    </row>
    <row r="943" spans="19:25" ht="15.75" customHeight="1" x14ac:dyDescent="0.45">
      <c r="S943" s="5"/>
      <c r="T943" s="5"/>
      <c r="U943" s="5"/>
      <c r="V943" s="5"/>
      <c r="W943" s="45"/>
      <c r="Y943" s="4"/>
    </row>
    <row r="944" spans="19:25" ht="15.75" customHeight="1" x14ac:dyDescent="0.45">
      <c r="S944" s="5"/>
      <c r="T944" s="5"/>
      <c r="U944" s="5"/>
      <c r="V944" s="5"/>
      <c r="W944" s="45"/>
      <c r="Y944" s="4"/>
    </row>
    <row r="945" spans="19:25" ht="15.75" customHeight="1" x14ac:dyDescent="0.45">
      <c r="S945" s="5"/>
      <c r="T945" s="5"/>
      <c r="U945" s="5"/>
      <c r="V945" s="5"/>
      <c r="W945" s="45"/>
      <c r="Y945" s="4"/>
    </row>
    <row r="946" spans="19:25" ht="15.75" customHeight="1" x14ac:dyDescent="0.45">
      <c r="S946" s="5"/>
      <c r="T946" s="5"/>
      <c r="U946" s="5"/>
      <c r="V946" s="5"/>
      <c r="W946" s="45"/>
      <c r="Y946" s="4"/>
    </row>
    <row r="947" spans="19:25" ht="15.75" customHeight="1" x14ac:dyDescent="0.45">
      <c r="S947" s="5"/>
      <c r="T947" s="5"/>
      <c r="U947" s="5"/>
      <c r="V947" s="5"/>
      <c r="W947" s="45"/>
      <c r="Y947" s="4"/>
    </row>
    <row r="948" spans="19:25" ht="15.75" customHeight="1" x14ac:dyDescent="0.45">
      <c r="S948" s="5"/>
      <c r="T948" s="5"/>
      <c r="U948" s="5"/>
      <c r="V948" s="5"/>
      <c r="W948" s="45"/>
      <c r="Y948" s="4"/>
    </row>
    <row r="949" spans="19:25" ht="15.75" customHeight="1" x14ac:dyDescent="0.45">
      <c r="S949" s="5"/>
      <c r="T949" s="5"/>
      <c r="U949" s="5"/>
      <c r="V949" s="5"/>
      <c r="W949" s="45"/>
      <c r="Y949" s="4"/>
    </row>
    <row r="950" spans="19:25" ht="15.75" customHeight="1" x14ac:dyDescent="0.45">
      <c r="S950" s="5"/>
      <c r="T950" s="5"/>
      <c r="U950" s="5"/>
      <c r="V950" s="5"/>
      <c r="W950" s="45"/>
      <c r="Y950" s="4"/>
    </row>
    <row r="951" spans="19:25" ht="15.75" customHeight="1" x14ac:dyDescent="0.45">
      <c r="S951" s="5"/>
      <c r="T951" s="5"/>
      <c r="U951" s="5"/>
      <c r="V951" s="5"/>
      <c r="W951" s="45"/>
      <c r="Y951" s="4"/>
    </row>
    <row r="952" spans="19:25" ht="15.75" customHeight="1" x14ac:dyDescent="0.45">
      <c r="S952" s="5"/>
      <c r="T952" s="5"/>
      <c r="U952" s="5"/>
      <c r="V952" s="5"/>
      <c r="W952" s="45"/>
      <c r="Y952" s="4"/>
    </row>
    <row r="953" spans="19:25" ht="15.75" customHeight="1" x14ac:dyDescent="0.45">
      <c r="S953" s="5"/>
      <c r="T953" s="5"/>
      <c r="U953" s="5"/>
      <c r="V953" s="5"/>
      <c r="W953" s="45"/>
      <c r="Y953" s="4"/>
    </row>
    <row r="954" spans="19:25" ht="15.75" customHeight="1" x14ac:dyDescent="0.45">
      <c r="S954" s="5"/>
      <c r="T954" s="5"/>
      <c r="U954" s="5"/>
      <c r="V954" s="5"/>
      <c r="W954" s="45"/>
      <c r="Y954" s="4"/>
    </row>
    <row r="955" spans="19:25" ht="15.75" customHeight="1" x14ac:dyDescent="0.45">
      <c r="S955" s="5"/>
      <c r="T955" s="5"/>
      <c r="U955" s="5"/>
      <c r="V955" s="5"/>
      <c r="W955" s="45"/>
      <c r="Y955" s="4"/>
    </row>
    <row r="956" spans="19:25" ht="15.75" customHeight="1" x14ac:dyDescent="0.45">
      <c r="S956" s="5"/>
      <c r="T956" s="5"/>
      <c r="U956" s="5"/>
      <c r="V956" s="5"/>
      <c r="W956" s="45"/>
      <c r="Y956" s="4"/>
    </row>
    <row r="957" spans="19:25" ht="15.75" customHeight="1" x14ac:dyDescent="0.45">
      <c r="S957" s="5"/>
      <c r="T957" s="5"/>
      <c r="U957" s="5"/>
      <c r="V957" s="5"/>
      <c r="W957" s="45"/>
      <c r="Y957" s="4"/>
    </row>
    <row r="958" spans="19:25" ht="15.75" customHeight="1" x14ac:dyDescent="0.45">
      <c r="S958" s="5"/>
      <c r="T958" s="5"/>
      <c r="U958" s="5"/>
      <c r="V958" s="5"/>
      <c r="W958" s="45"/>
      <c r="Y958" s="4"/>
    </row>
    <row r="959" spans="19:25" ht="15.75" customHeight="1" x14ac:dyDescent="0.45">
      <c r="S959" s="5"/>
      <c r="T959" s="5"/>
      <c r="U959" s="5"/>
      <c r="V959" s="5"/>
      <c r="W959" s="45"/>
      <c r="Y959" s="4"/>
    </row>
    <row r="960" spans="19:25" ht="15.75" customHeight="1" x14ac:dyDescent="0.45">
      <c r="S960" s="5"/>
      <c r="T960" s="5"/>
      <c r="U960" s="5"/>
      <c r="V960" s="5"/>
      <c r="W960" s="45"/>
      <c r="Y960" s="4"/>
    </row>
    <row r="961" spans="19:25" ht="15.75" customHeight="1" x14ac:dyDescent="0.45">
      <c r="S961" s="5"/>
      <c r="T961" s="5"/>
      <c r="U961" s="5"/>
      <c r="V961" s="5"/>
      <c r="W961" s="45"/>
      <c r="Y961" s="4"/>
    </row>
    <row r="962" spans="19:25" ht="15.75" customHeight="1" x14ac:dyDescent="0.45">
      <c r="S962" s="5"/>
      <c r="T962" s="5"/>
      <c r="U962" s="5"/>
      <c r="V962" s="5"/>
      <c r="W962" s="45"/>
      <c r="Y962" s="4"/>
    </row>
    <row r="963" spans="19:25" ht="15.75" customHeight="1" x14ac:dyDescent="0.45">
      <c r="S963" s="5"/>
      <c r="T963" s="5"/>
      <c r="U963" s="5"/>
      <c r="V963" s="5"/>
      <c r="W963" s="45"/>
      <c r="Y963" s="4"/>
    </row>
    <row r="964" spans="19:25" ht="15.75" customHeight="1" x14ac:dyDescent="0.45">
      <c r="S964" s="5"/>
      <c r="T964" s="5"/>
      <c r="U964" s="5"/>
      <c r="V964" s="5"/>
      <c r="W964" s="45"/>
      <c r="Y964" s="4"/>
    </row>
    <row r="965" spans="19:25" ht="15.75" customHeight="1" x14ac:dyDescent="0.45">
      <c r="S965" s="5"/>
      <c r="T965" s="5"/>
      <c r="U965" s="5"/>
      <c r="V965" s="5"/>
      <c r="W965" s="45"/>
      <c r="Y965" s="4"/>
    </row>
    <row r="966" spans="19:25" ht="15.75" customHeight="1" x14ac:dyDescent="0.45">
      <c r="S966" s="5"/>
      <c r="T966" s="5"/>
      <c r="U966" s="5"/>
      <c r="V966" s="5"/>
      <c r="W966" s="45"/>
      <c r="Y966" s="4"/>
    </row>
    <row r="967" spans="19:25" ht="15.75" customHeight="1" x14ac:dyDescent="0.45">
      <c r="S967" s="5"/>
      <c r="T967" s="5"/>
      <c r="U967" s="5"/>
      <c r="V967" s="5"/>
      <c r="W967" s="45"/>
      <c r="Y967" s="4"/>
    </row>
    <row r="968" spans="19:25" ht="15.75" customHeight="1" x14ac:dyDescent="0.45">
      <c r="S968" s="5"/>
      <c r="T968" s="5"/>
      <c r="U968" s="5"/>
      <c r="V968" s="5"/>
      <c r="W968" s="45"/>
      <c r="Y968" s="4"/>
    </row>
    <row r="969" spans="19:25" ht="15.75" customHeight="1" x14ac:dyDescent="0.45">
      <c r="S969" s="5"/>
      <c r="T969" s="5"/>
      <c r="U969" s="5"/>
      <c r="V969" s="5"/>
      <c r="W969" s="45"/>
      <c r="Y969" s="4"/>
    </row>
    <row r="970" spans="19:25" ht="15.75" customHeight="1" x14ac:dyDescent="0.45">
      <c r="S970" s="5"/>
      <c r="T970" s="5"/>
      <c r="U970" s="5"/>
      <c r="V970" s="5"/>
      <c r="W970" s="45"/>
      <c r="Y970" s="4"/>
    </row>
    <row r="971" spans="19:25" ht="15.75" customHeight="1" x14ac:dyDescent="0.45">
      <c r="S971" s="5"/>
      <c r="T971" s="5"/>
      <c r="U971" s="5"/>
      <c r="V971" s="5"/>
      <c r="W971" s="45"/>
      <c r="Y971" s="4"/>
    </row>
    <row r="972" spans="19:25" ht="15.75" customHeight="1" x14ac:dyDescent="0.45">
      <c r="S972" s="5"/>
      <c r="T972" s="5"/>
      <c r="U972" s="5"/>
      <c r="V972" s="5"/>
      <c r="W972" s="45"/>
      <c r="Y972" s="4"/>
    </row>
    <row r="973" spans="19:25" ht="15.75" customHeight="1" x14ac:dyDescent="0.45">
      <c r="S973" s="5"/>
      <c r="T973" s="5"/>
      <c r="U973" s="5"/>
      <c r="V973" s="5"/>
      <c r="W973" s="45"/>
      <c r="Y973" s="4"/>
    </row>
    <row r="974" spans="19:25" ht="15.75" customHeight="1" x14ac:dyDescent="0.45">
      <c r="S974" s="5"/>
      <c r="T974" s="5"/>
      <c r="U974" s="5"/>
      <c r="V974" s="5"/>
      <c r="W974" s="45"/>
      <c r="Y974" s="4"/>
    </row>
    <row r="975" spans="19:25" ht="15.75" customHeight="1" x14ac:dyDescent="0.45">
      <c r="S975" s="5"/>
      <c r="T975" s="5"/>
      <c r="U975" s="5"/>
      <c r="V975" s="5"/>
      <c r="W975" s="45"/>
      <c r="Y975" s="4"/>
    </row>
    <row r="976" spans="19:25" ht="15.75" customHeight="1" x14ac:dyDescent="0.45">
      <c r="S976" s="5"/>
      <c r="T976" s="5"/>
      <c r="U976" s="5"/>
      <c r="V976" s="5"/>
      <c r="W976" s="45"/>
      <c r="Y976" s="4"/>
    </row>
    <row r="977" spans="19:25" ht="15.75" customHeight="1" x14ac:dyDescent="0.45">
      <c r="S977" s="5"/>
      <c r="T977" s="5"/>
      <c r="U977" s="5"/>
      <c r="V977" s="5"/>
      <c r="W977" s="45"/>
      <c r="Y977" s="4"/>
    </row>
    <row r="978" spans="19:25" ht="15.75" customHeight="1" x14ac:dyDescent="0.45">
      <c r="S978" s="5"/>
      <c r="T978" s="5"/>
      <c r="U978" s="5"/>
      <c r="V978" s="5"/>
      <c r="W978" s="45"/>
      <c r="Y978" s="4"/>
    </row>
    <row r="979" spans="19:25" ht="15.75" customHeight="1" x14ac:dyDescent="0.45">
      <c r="S979" s="5"/>
      <c r="T979" s="5"/>
      <c r="U979" s="5"/>
      <c r="V979" s="5"/>
      <c r="W979" s="45"/>
      <c r="Y979" s="4"/>
    </row>
    <row r="980" spans="19:25" ht="15.75" customHeight="1" x14ac:dyDescent="0.45">
      <c r="S980" s="5"/>
      <c r="T980" s="5"/>
      <c r="U980" s="5"/>
      <c r="V980" s="5"/>
      <c r="W980" s="45"/>
      <c r="Y980" s="4"/>
    </row>
    <row r="981" spans="19:25" ht="15.75" customHeight="1" x14ac:dyDescent="0.45">
      <c r="S981" s="5"/>
      <c r="T981" s="5"/>
      <c r="U981" s="5"/>
      <c r="V981" s="5"/>
      <c r="W981" s="45"/>
      <c r="Y981" s="4"/>
    </row>
    <row r="982" spans="19:25" ht="15.75" customHeight="1" x14ac:dyDescent="0.45">
      <c r="S982" s="5"/>
      <c r="T982" s="5"/>
      <c r="U982" s="5"/>
      <c r="V982" s="5"/>
      <c r="W982" s="45"/>
      <c r="Y982" s="4"/>
    </row>
    <row r="983" spans="19:25" ht="15.75" customHeight="1" x14ac:dyDescent="0.45">
      <c r="S983" s="5"/>
      <c r="T983" s="5"/>
      <c r="U983" s="5"/>
      <c r="V983" s="5"/>
      <c r="W983" s="45"/>
      <c r="Y983" s="4"/>
    </row>
    <row r="984" spans="19:25" ht="15.75" customHeight="1" x14ac:dyDescent="0.45">
      <c r="S984" s="5"/>
      <c r="T984" s="5"/>
      <c r="U984" s="5"/>
      <c r="V984" s="5"/>
      <c r="W984" s="45"/>
      <c r="Y984" s="4"/>
    </row>
    <row r="985" spans="19:25" ht="15.75" customHeight="1" x14ac:dyDescent="0.45">
      <c r="S985" s="5"/>
      <c r="T985" s="5"/>
      <c r="U985" s="5"/>
      <c r="V985" s="5"/>
      <c r="W985" s="45"/>
      <c r="Y985" s="4"/>
    </row>
    <row r="986" spans="19:25" ht="15.75" customHeight="1" x14ac:dyDescent="0.45">
      <c r="S986" s="5"/>
      <c r="T986" s="5"/>
      <c r="U986" s="5"/>
      <c r="V986" s="5"/>
      <c r="W986" s="45"/>
      <c r="Y986" s="4"/>
    </row>
    <row r="987" spans="19:25" ht="15.75" customHeight="1" x14ac:dyDescent="0.45">
      <c r="S987" s="5"/>
      <c r="T987" s="5"/>
      <c r="U987" s="5"/>
      <c r="V987" s="5"/>
      <c r="W987" s="45"/>
      <c r="Y987" s="4"/>
    </row>
    <row r="988" spans="19:25" ht="15.75" customHeight="1" x14ac:dyDescent="0.45">
      <c r="S988" s="5"/>
      <c r="T988" s="5"/>
      <c r="U988" s="5"/>
      <c r="V988" s="5"/>
      <c r="W988" s="45"/>
      <c r="Y988" s="4"/>
    </row>
    <row r="989" spans="19:25" ht="15.75" customHeight="1" x14ac:dyDescent="0.45">
      <c r="S989" s="5"/>
      <c r="T989" s="5"/>
      <c r="U989" s="5"/>
      <c r="V989" s="5"/>
      <c r="W989" s="45"/>
      <c r="Y989" s="4"/>
    </row>
    <row r="990" spans="19:25" ht="15.75" customHeight="1" x14ac:dyDescent="0.45">
      <c r="S990" s="5"/>
      <c r="T990" s="5"/>
      <c r="U990" s="5"/>
      <c r="V990" s="5"/>
      <c r="W990" s="45"/>
      <c r="Y990" s="4"/>
    </row>
    <row r="991" spans="19:25" ht="15.75" customHeight="1" x14ac:dyDescent="0.45">
      <c r="S991" s="5"/>
      <c r="T991" s="5"/>
      <c r="U991" s="5"/>
      <c r="V991" s="5"/>
      <c r="W991" s="45"/>
      <c r="Y991" s="4"/>
    </row>
    <row r="992" spans="19:25" ht="15.75" customHeight="1" x14ac:dyDescent="0.45">
      <c r="S992" s="5"/>
      <c r="T992" s="5"/>
      <c r="U992" s="5"/>
      <c r="V992" s="5"/>
      <c r="W992" s="45"/>
      <c r="Y992" s="4"/>
    </row>
    <row r="993" spans="19:25" ht="15.75" customHeight="1" x14ac:dyDescent="0.45">
      <c r="S993" s="5"/>
      <c r="T993" s="5"/>
      <c r="U993" s="5"/>
      <c r="V993" s="5"/>
      <c r="W993" s="45"/>
      <c r="Y993" s="4"/>
    </row>
    <row r="994" spans="19:25" ht="15.75" customHeight="1" x14ac:dyDescent="0.45">
      <c r="S994" s="5"/>
      <c r="T994" s="5"/>
      <c r="U994" s="5"/>
      <c r="V994" s="5"/>
      <c r="W994" s="45"/>
      <c r="Y994" s="4"/>
    </row>
    <row r="995" spans="19:25" ht="15.75" customHeight="1" x14ac:dyDescent="0.45">
      <c r="S995" s="5"/>
      <c r="T995" s="5"/>
      <c r="U995" s="5"/>
      <c r="V995" s="5"/>
      <c r="W995" s="45"/>
      <c r="Y995" s="4"/>
    </row>
    <row r="996" spans="19:25" ht="15.75" customHeight="1" x14ac:dyDescent="0.45">
      <c r="S996" s="5"/>
      <c r="T996" s="5"/>
      <c r="U996" s="5"/>
      <c r="V996" s="5"/>
      <c r="W996" s="45"/>
      <c r="Y996" s="4"/>
    </row>
    <row r="997" spans="19:25" ht="15.75" customHeight="1" x14ac:dyDescent="0.45">
      <c r="S997" s="5"/>
      <c r="T997" s="5"/>
      <c r="U997" s="5"/>
      <c r="V997" s="5"/>
      <c r="W997" s="45"/>
      <c r="Y997" s="4"/>
    </row>
    <row r="998" spans="19:25" ht="15.75" customHeight="1" x14ac:dyDescent="0.45">
      <c r="S998" s="5"/>
      <c r="T998" s="5"/>
      <c r="U998" s="5"/>
      <c r="V998" s="5"/>
      <c r="W998" s="45"/>
      <c r="Y998" s="4"/>
    </row>
    <row r="999" spans="19:25" ht="15.75" customHeight="1" x14ac:dyDescent="0.45">
      <c r="S999" s="5"/>
      <c r="T999" s="5"/>
      <c r="U999" s="5"/>
      <c r="V999" s="5"/>
      <c r="W999" s="45"/>
      <c r="Y999" s="4"/>
    </row>
    <row r="1000" spans="19:25" ht="15.75" customHeight="1" x14ac:dyDescent="0.4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3984375" defaultRowHeight="15" customHeight="1" x14ac:dyDescent="0.45"/>
  <cols>
    <col min="1" max="8" width="20.73046875" style="60" customWidth="1"/>
    <col min="9" max="23" width="7.59765625" style="60" customWidth="1"/>
    <col min="24" max="26" width="12.59765625" style="60" customWidth="1"/>
    <col min="27" max="16384" width="14.3984375" style="60"/>
  </cols>
  <sheetData>
    <row r="1" spans="1:3" ht="15.75" customHeight="1" x14ac:dyDescent="0.45">
      <c r="A1" s="257" t="s">
        <v>59</v>
      </c>
      <c r="B1" s="258"/>
      <c r="C1" s="259"/>
    </row>
    <row r="2" spans="1:3" ht="15.75" customHeight="1" x14ac:dyDescent="0.45">
      <c r="A2" s="52" t="s">
        <v>60</v>
      </c>
      <c r="B2" s="52" t="s">
        <v>61</v>
      </c>
      <c r="C2" s="52" t="s">
        <v>62</v>
      </c>
    </row>
    <row r="3" spans="1:3" ht="15.75" customHeight="1" x14ac:dyDescent="0.45">
      <c r="A3" s="53">
        <v>43831</v>
      </c>
      <c r="B3" s="54" t="s">
        <v>63</v>
      </c>
      <c r="C3" s="55" t="s">
        <v>64</v>
      </c>
    </row>
    <row r="4" spans="1:3" ht="15.75" customHeight="1" x14ac:dyDescent="0.45">
      <c r="A4" s="53">
        <v>43843</v>
      </c>
      <c r="B4" s="54" t="s">
        <v>6</v>
      </c>
      <c r="C4" s="55" t="s">
        <v>65</v>
      </c>
    </row>
    <row r="5" spans="1:3" ht="15.75" customHeight="1" x14ac:dyDescent="0.45">
      <c r="A5" s="53">
        <v>43872</v>
      </c>
      <c r="B5" s="54" t="s">
        <v>66</v>
      </c>
      <c r="C5" s="55" t="s">
        <v>67</v>
      </c>
    </row>
    <row r="6" spans="1:3" ht="15.75" customHeight="1" x14ac:dyDescent="0.45">
      <c r="A6" s="53">
        <v>43884</v>
      </c>
      <c r="B6" s="54" t="s">
        <v>17</v>
      </c>
      <c r="C6" s="55" t="s">
        <v>68</v>
      </c>
    </row>
    <row r="7" spans="1:3" ht="15.75" customHeight="1" x14ac:dyDescent="0.45">
      <c r="A7" s="53">
        <v>43885</v>
      </c>
      <c r="B7" s="54" t="s">
        <v>6</v>
      </c>
      <c r="C7" s="55" t="s">
        <v>69</v>
      </c>
    </row>
    <row r="8" spans="1:3" ht="15.75" customHeight="1" x14ac:dyDescent="0.45">
      <c r="A8" s="53">
        <v>43910</v>
      </c>
      <c r="B8" s="54" t="s">
        <v>70</v>
      </c>
      <c r="C8" s="55" t="s">
        <v>71</v>
      </c>
    </row>
    <row r="9" spans="1:3" ht="15.75" customHeight="1" x14ac:dyDescent="0.45">
      <c r="A9" s="53">
        <v>43950</v>
      </c>
      <c r="B9" s="54" t="s">
        <v>63</v>
      </c>
      <c r="C9" s="55" t="s">
        <v>72</v>
      </c>
    </row>
    <row r="10" spans="1:3" ht="15.75" customHeight="1" x14ac:dyDescent="0.45">
      <c r="A10" s="53">
        <v>43954</v>
      </c>
      <c r="B10" s="54" t="s">
        <v>17</v>
      </c>
      <c r="C10" s="55" t="s">
        <v>73</v>
      </c>
    </row>
    <row r="11" spans="1:3" ht="15.75" customHeight="1" x14ac:dyDescent="0.45">
      <c r="A11" s="53">
        <v>43955</v>
      </c>
      <c r="B11" s="54" t="s">
        <v>6</v>
      </c>
      <c r="C11" s="55" t="s">
        <v>74</v>
      </c>
    </row>
    <row r="12" spans="1:3" ht="15.75" customHeight="1" x14ac:dyDescent="0.45">
      <c r="A12" s="53">
        <v>43956</v>
      </c>
      <c r="B12" s="54" t="s">
        <v>66</v>
      </c>
      <c r="C12" s="55" t="s">
        <v>75</v>
      </c>
    </row>
    <row r="13" spans="1:3" ht="15.75" customHeight="1" x14ac:dyDescent="0.45">
      <c r="A13" s="53">
        <v>43957</v>
      </c>
      <c r="B13" s="54" t="s">
        <v>63</v>
      </c>
      <c r="C13" s="55" t="s">
        <v>69</v>
      </c>
    </row>
    <row r="14" spans="1:3" ht="15.75" customHeight="1" x14ac:dyDescent="0.45">
      <c r="A14" s="53">
        <v>44035</v>
      </c>
      <c r="B14" s="54" t="s">
        <v>76</v>
      </c>
      <c r="C14" s="55" t="s">
        <v>77</v>
      </c>
    </row>
    <row r="15" spans="1:3" ht="15.75" customHeight="1" x14ac:dyDescent="0.45">
      <c r="A15" s="53">
        <v>44036</v>
      </c>
      <c r="B15" s="54" t="s">
        <v>70</v>
      </c>
      <c r="C15" s="55" t="s">
        <v>78</v>
      </c>
    </row>
    <row r="16" spans="1:3" ht="15.75" customHeight="1" x14ac:dyDescent="0.45">
      <c r="A16" s="53">
        <v>44053</v>
      </c>
      <c r="B16" s="54" t="s">
        <v>6</v>
      </c>
      <c r="C16" s="55" t="s">
        <v>79</v>
      </c>
    </row>
    <row r="17" spans="1:3" ht="15.75" customHeight="1" x14ac:dyDescent="0.45">
      <c r="A17" s="53">
        <v>44095</v>
      </c>
      <c r="B17" s="54" t="s">
        <v>6</v>
      </c>
      <c r="C17" s="55" t="s">
        <v>80</v>
      </c>
    </row>
    <row r="18" spans="1:3" ht="15.75" customHeight="1" x14ac:dyDescent="0.45">
      <c r="A18" s="53">
        <v>44096</v>
      </c>
      <c r="B18" s="54" t="s">
        <v>66</v>
      </c>
      <c r="C18" s="55" t="s">
        <v>81</v>
      </c>
    </row>
    <row r="19" spans="1:3" ht="15.75" customHeight="1" x14ac:dyDescent="0.45">
      <c r="A19" s="53">
        <v>44138</v>
      </c>
      <c r="B19" s="54" t="s">
        <v>66</v>
      </c>
      <c r="C19" s="55" t="s">
        <v>82</v>
      </c>
    </row>
    <row r="20" spans="1:3" ht="15.75" customHeight="1" x14ac:dyDescent="0.45">
      <c r="A20" s="53">
        <v>44158</v>
      </c>
      <c r="B20" s="54" t="s">
        <v>6</v>
      </c>
      <c r="C20" s="55" t="s">
        <v>83</v>
      </c>
    </row>
    <row r="21" spans="1:3" ht="15.75" customHeight="1" x14ac:dyDescent="0.45">
      <c r="A21" s="53">
        <v>44197</v>
      </c>
      <c r="B21" s="54" t="s">
        <v>70</v>
      </c>
      <c r="C21" s="55" t="s">
        <v>64</v>
      </c>
    </row>
    <row r="22" spans="1:3" ht="15.75" customHeight="1" x14ac:dyDescent="0.45">
      <c r="A22" s="53">
        <v>44207</v>
      </c>
      <c r="B22" s="54" t="s">
        <v>6</v>
      </c>
      <c r="C22" s="55" t="s">
        <v>65</v>
      </c>
    </row>
    <row r="23" spans="1:3" ht="15.75" customHeight="1" x14ac:dyDescent="0.45">
      <c r="A23" s="53">
        <v>44238</v>
      </c>
      <c r="B23" s="54" t="s">
        <v>76</v>
      </c>
      <c r="C23" s="55" t="s">
        <v>67</v>
      </c>
    </row>
    <row r="24" spans="1:3" ht="15.75" customHeight="1" x14ac:dyDescent="0.45">
      <c r="A24" s="53">
        <v>44250</v>
      </c>
      <c r="B24" s="54" t="s">
        <v>66</v>
      </c>
      <c r="C24" s="55" t="s">
        <v>68</v>
      </c>
    </row>
    <row r="25" spans="1:3" ht="15.75" customHeight="1" x14ac:dyDescent="0.45">
      <c r="A25" s="53">
        <v>44275</v>
      </c>
      <c r="B25" s="54" t="s">
        <v>84</v>
      </c>
      <c r="C25" s="55" t="s">
        <v>71</v>
      </c>
    </row>
    <row r="26" spans="1:3" ht="15.75" customHeight="1" x14ac:dyDescent="0.45">
      <c r="A26" s="53">
        <v>44315</v>
      </c>
      <c r="B26" s="54" t="s">
        <v>76</v>
      </c>
      <c r="C26" s="55" t="s">
        <v>72</v>
      </c>
    </row>
    <row r="27" spans="1:3" ht="15.75" customHeight="1" x14ac:dyDescent="0.45">
      <c r="A27" s="53">
        <v>44319</v>
      </c>
      <c r="B27" s="54" t="s">
        <v>6</v>
      </c>
      <c r="C27" s="55" t="s">
        <v>73</v>
      </c>
    </row>
    <row r="28" spans="1:3" ht="15.75" customHeight="1" x14ac:dyDescent="0.45">
      <c r="A28" s="53">
        <v>44320</v>
      </c>
      <c r="B28" s="54" t="s">
        <v>66</v>
      </c>
      <c r="C28" s="55" t="s">
        <v>74</v>
      </c>
    </row>
    <row r="29" spans="1:3" ht="15.75" customHeight="1" x14ac:dyDescent="0.45">
      <c r="A29" s="53">
        <v>44321</v>
      </c>
      <c r="B29" s="54" t="s">
        <v>63</v>
      </c>
      <c r="C29" s="55" t="s">
        <v>75</v>
      </c>
    </row>
    <row r="30" spans="1:3" ht="15.75" customHeight="1" x14ac:dyDescent="0.45">
      <c r="A30" s="53">
        <v>44399</v>
      </c>
      <c r="B30" s="54" t="s">
        <v>76</v>
      </c>
      <c r="C30" s="55" t="s">
        <v>77</v>
      </c>
    </row>
    <row r="31" spans="1:3" ht="15.75" customHeight="1" x14ac:dyDescent="0.45">
      <c r="A31" s="53">
        <v>44417</v>
      </c>
      <c r="B31" s="54" t="s">
        <v>6</v>
      </c>
      <c r="C31" s="55" t="s">
        <v>79</v>
      </c>
    </row>
    <row r="32" spans="1:3" ht="15.75" customHeight="1" x14ac:dyDescent="0.45">
      <c r="A32" s="53">
        <v>44459</v>
      </c>
      <c r="B32" s="54" t="s">
        <v>6</v>
      </c>
      <c r="C32" s="55" t="s">
        <v>80</v>
      </c>
    </row>
    <row r="33" spans="1:3" ht="15.75" customHeight="1" x14ac:dyDescent="0.45">
      <c r="A33" s="53">
        <v>44462</v>
      </c>
      <c r="B33" s="54" t="s">
        <v>76</v>
      </c>
      <c r="C33" s="55" t="s">
        <v>81</v>
      </c>
    </row>
    <row r="34" spans="1:3" ht="15.75" customHeight="1" x14ac:dyDescent="0.45">
      <c r="A34" s="53">
        <v>44400</v>
      </c>
      <c r="B34" s="54" t="s">
        <v>70</v>
      </c>
      <c r="C34" s="55" t="s">
        <v>78</v>
      </c>
    </row>
    <row r="35" spans="1:3" ht="15.75" customHeight="1" x14ac:dyDescent="0.45">
      <c r="A35" s="53">
        <v>44503</v>
      </c>
      <c r="B35" s="54" t="s">
        <v>63</v>
      </c>
      <c r="C35" s="55" t="s">
        <v>82</v>
      </c>
    </row>
    <row r="36" spans="1:3" ht="15.75" customHeight="1" x14ac:dyDescent="0.45">
      <c r="A36" s="53">
        <v>44523</v>
      </c>
      <c r="B36" s="54" t="s">
        <v>66</v>
      </c>
      <c r="C36" s="55" t="s">
        <v>83</v>
      </c>
    </row>
    <row r="37" spans="1:3" ht="15.75" customHeight="1" x14ac:dyDescent="0.45">
      <c r="A37" s="53">
        <v>44559</v>
      </c>
      <c r="B37" s="54" t="s">
        <v>63</v>
      </c>
      <c r="C37" s="55" t="s">
        <v>85</v>
      </c>
    </row>
    <row r="38" spans="1:3" ht="15.75" customHeight="1" x14ac:dyDescent="0.45">
      <c r="A38" s="53">
        <v>44560</v>
      </c>
      <c r="B38" s="54" t="s">
        <v>76</v>
      </c>
      <c r="C38" s="55" t="s">
        <v>85</v>
      </c>
    </row>
    <row r="39" spans="1:3" ht="15.75" customHeight="1" x14ac:dyDescent="0.45">
      <c r="A39" s="53">
        <v>44561</v>
      </c>
      <c r="B39" s="54" t="s">
        <v>70</v>
      </c>
      <c r="C39" s="55" t="s">
        <v>85</v>
      </c>
    </row>
    <row r="40" spans="1:3" ht="15.75" customHeight="1" x14ac:dyDescent="0.45">
      <c r="A40" s="53">
        <v>44562</v>
      </c>
      <c r="B40" s="54" t="s">
        <v>84</v>
      </c>
      <c r="C40" s="55" t="s">
        <v>85</v>
      </c>
    </row>
    <row r="41" spans="1:3" ht="15.75" customHeight="1" x14ac:dyDescent="0.45">
      <c r="A41" s="53">
        <v>44563</v>
      </c>
      <c r="B41" s="54" t="s">
        <v>17</v>
      </c>
      <c r="C41" s="55" t="s">
        <v>85</v>
      </c>
    </row>
    <row r="42" spans="1:3" ht="15.75" customHeight="1" x14ac:dyDescent="0.45">
      <c r="A42" s="53">
        <v>44564</v>
      </c>
      <c r="B42" s="54" t="s">
        <v>6</v>
      </c>
      <c r="C42" s="55" t="s">
        <v>85</v>
      </c>
    </row>
    <row r="43" spans="1:3" ht="15.75" customHeight="1" x14ac:dyDescent="0.45">
      <c r="A43" s="53">
        <v>44571</v>
      </c>
      <c r="B43" s="54" t="s">
        <v>6</v>
      </c>
      <c r="C43" s="55" t="s">
        <v>65</v>
      </c>
    </row>
    <row r="44" spans="1:3" ht="15.75" customHeight="1" x14ac:dyDescent="0.45">
      <c r="A44" s="53">
        <v>44603</v>
      </c>
      <c r="B44" s="54" t="s">
        <v>70</v>
      </c>
      <c r="C44" s="55" t="s">
        <v>67</v>
      </c>
    </row>
    <row r="45" spans="1:3" ht="15.75" customHeight="1" x14ac:dyDescent="0.45">
      <c r="A45" s="53">
        <v>44615</v>
      </c>
      <c r="B45" s="54" t="s">
        <v>63</v>
      </c>
      <c r="C45" s="55" t="s">
        <v>68</v>
      </c>
    </row>
    <row r="46" spans="1:3" ht="15.75" customHeight="1" x14ac:dyDescent="0.45">
      <c r="A46" s="53">
        <v>44641</v>
      </c>
      <c r="B46" s="54" t="s">
        <v>6</v>
      </c>
      <c r="C46" s="55" t="s">
        <v>71</v>
      </c>
    </row>
    <row r="47" spans="1:3" ht="15.75" customHeight="1" x14ac:dyDescent="0.45">
      <c r="A47" s="53">
        <v>44680</v>
      </c>
      <c r="B47" s="54" t="s">
        <v>70</v>
      </c>
      <c r="C47" s="55" t="s">
        <v>72</v>
      </c>
    </row>
    <row r="48" spans="1:3" ht="15.75" customHeight="1" x14ac:dyDescent="0.45">
      <c r="A48" s="53">
        <v>44684</v>
      </c>
      <c r="B48" s="54" t="s">
        <v>66</v>
      </c>
      <c r="C48" s="55" t="s">
        <v>73</v>
      </c>
    </row>
    <row r="49" spans="1:3" ht="15.75" customHeight="1" x14ac:dyDescent="0.45">
      <c r="A49" s="53">
        <v>44685</v>
      </c>
      <c r="B49" s="54" t="s">
        <v>63</v>
      </c>
      <c r="C49" s="55" t="s">
        <v>74</v>
      </c>
    </row>
    <row r="50" spans="1:3" ht="15.75" customHeight="1" x14ac:dyDescent="0.45">
      <c r="A50" s="53">
        <v>44686</v>
      </c>
      <c r="B50" s="54" t="s">
        <v>76</v>
      </c>
      <c r="C50" s="55" t="s">
        <v>75</v>
      </c>
    </row>
    <row r="51" spans="1:3" ht="15.75" customHeight="1" x14ac:dyDescent="0.45">
      <c r="A51" s="53">
        <v>44760</v>
      </c>
      <c r="B51" s="54" t="s">
        <v>6</v>
      </c>
      <c r="C51" s="55" t="s">
        <v>77</v>
      </c>
    </row>
    <row r="52" spans="1:3" ht="15.75" customHeight="1" x14ac:dyDescent="0.45">
      <c r="A52" s="53">
        <v>44784</v>
      </c>
      <c r="B52" s="54" t="s">
        <v>76</v>
      </c>
      <c r="C52" s="55" t="s">
        <v>79</v>
      </c>
    </row>
    <row r="53" spans="1:3" ht="15.75" customHeight="1" x14ac:dyDescent="0.45">
      <c r="A53" s="53">
        <v>44823</v>
      </c>
      <c r="B53" s="54" t="s">
        <v>6</v>
      </c>
      <c r="C53" s="55" t="s">
        <v>80</v>
      </c>
    </row>
    <row r="54" spans="1:3" ht="15.75" customHeight="1" x14ac:dyDescent="0.45">
      <c r="A54" s="53">
        <v>44827</v>
      </c>
      <c r="B54" s="54" t="s">
        <v>70</v>
      </c>
      <c r="C54" s="55" t="s">
        <v>81</v>
      </c>
    </row>
    <row r="55" spans="1:3" ht="15.75" customHeight="1" x14ac:dyDescent="0.45">
      <c r="A55" s="53">
        <v>44844</v>
      </c>
      <c r="B55" s="54" t="s">
        <v>6</v>
      </c>
      <c r="C55" s="55" t="s">
        <v>78</v>
      </c>
    </row>
    <row r="56" spans="1:3" ht="15.75" customHeight="1" x14ac:dyDescent="0.45">
      <c r="A56" s="53">
        <v>44868</v>
      </c>
      <c r="B56" s="54" t="s">
        <v>76</v>
      </c>
      <c r="C56" s="55" t="s">
        <v>82</v>
      </c>
    </row>
    <row r="57" spans="1:3" ht="15.75" customHeight="1" x14ac:dyDescent="0.45">
      <c r="A57" s="53">
        <v>44888</v>
      </c>
      <c r="B57" s="54" t="s">
        <v>63</v>
      </c>
      <c r="C57" s="55" t="s">
        <v>83</v>
      </c>
    </row>
    <row r="58" spans="1:3" ht="15.75" customHeight="1" x14ac:dyDescent="0.45">
      <c r="A58" s="53">
        <v>44928</v>
      </c>
      <c r="B58" s="54" t="s">
        <v>86</v>
      </c>
      <c r="C58" s="55" t="s">
        <v>85</v>
      </c>
    </row>
    <row r="59" spans="1:3" ht="15.75" customHeight="1" x14ac:dyDescent="0.45">
      <c r="A59" s="53">
        <v>44929</v>
      </c>
      <c r="B59" s="54" t="s">
        <v>87</v>
      </c>
      <c r="C59" s="55" t="s">
        <v>85</v>
      </c>
    </row>
    <row r="60" spans="1:3" ht="15.75" customHeight="1" x14ac:dyDescent="0.45">
      <c r="A60" s="53">
        <v>44935</v>
      </c>
      <c r="B60" s="54" t="s">
        <v>6</v>
      </c>
      <c r="C60" s="55" t="s">
        <v>65</v>
      </c>
    </row>
    <row r="61" spans="1:3" ht="15.75" customHeight="1" x14ac:dyDescent="0.45">
      <c r="A61" s="53">
        <v>44980</v>
      </c>
      <c r="B61" s="54" t="s">
        <v>76</v>
      </c>
      <c r="C61" s="55" t="s">
        <v>68</v>
      </c>
    </row>
    <row r="62" spans="1:3" ht="15.75" customHeight="1" x14ac:dyDescent="0.45">
      <c r="A62" s="53">
        <v>45006</v>
      </c>
      <c r="B62" s="54" t="s">
        <v>87</v>
      </c>
      <c r="C62" s="55" t="s">
        <v>71</v>
      </c>
    </row>
    <row r="63" spans="1:3" ht="15.75" customHeight="1" x14ac:dyDescent="0.45"/>
    <row r="64" spans="1:3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12月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'12月'!Print_Area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2024-12-27T00:29:54Z</dcterms:modified>
</cp:coreProperties>
</file>