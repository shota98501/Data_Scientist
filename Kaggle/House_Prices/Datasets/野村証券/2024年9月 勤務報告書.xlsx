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2C5AAA44-569E-46F0-BA56-039EE6EB1480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V49" i="58" l="1"/>
  <c r="V46" i="58"/>
  <c r="V45" i="58"/>
  <c r="V44" i="58"/>
  <c r="V43" i="58"/>
  <c r="V42" i="58"/>
  <c r="V39" i="58"/>
  <c r="V38" i="58"/>
  <c r="V37" i="58"/>
  <c r="V36" i="58"/>
  <c r="V35" i="58"/>
  <c r="V32" i="58"/>
  <c r="V31" i="58"/>
  <c r="V30" i="58"/>
  <c r="V29" i="58"/>
  <c r="V28" i="58"/>
  <c r="V25" i="58"/>
  <c r="V24" i="58"/>
  <c r="V23" i="58"/>
  <c r="V22" i="58"/>
  <c r="V21" i="58"/>
  <c r="U46" i="58"/>
  <c r="U45" i="58"/>
  <c r="U44" i="58"/>
  <c r="U43" i="58"/>
  <c r="U42" i="58"/>
  <c r="U39" i="58"/>
  <c r="U38" i="58"/>
  <c r="U37" i="58"/>
  <c r="U36" i="58"/>
  <c r="U35" i="58"/>
  <c r="U32" i="58"/>
  <c r="U31" i="58"/>
  <c r="U30" i="58"/>
  <c r="U29" i="58"/>
  <c r="U28" i="58"/>
  <c r="U25" i="58"/>
  <c r="U24" i="58"/>
  <c r="U23" i="58"/>
  <c r="U22" i="58"/>
  <c r="U21" i="58"/>
  <c r="T49" i="58"/>
  <c r="T46" i="58"/>
  <c r="T45" i="58"/>
  <c r="T44" i="58"/>
  <c r="T43" i="58"/>
  <c r="T42" i="58"/>
  <c r="T39" i="58"/>
  <c r="T38" i="58"/>
  <c r="T37" i="58"/>
  <c r="T36" i="58"/>
  <c r="T35" i="58"/>
  <c r="T32" i="58"/>
  <c r="T31" i="58"/>
  <c r="T30" i="58"/>
  <c r="T29" i="58"/>
  <c r="T28" i="58"/>
  <c r="T25" i="58"/>
  <c r="T24" i="58"/>
  <c r="T23" i="58"/>
  <c r="T22" i="58"/>
  <c r="T21" i="58"/>
  <c r="K49" i="58"/>
  <c r="K46" i="58"/>
  <c r="K45" i="58"/>
  <c r="K44" i="58"/>
  <c r="K43" i="58"/>
  <c r="K42" i="58"/>
  <c r="K39" i="58"/>
  <c r="K38" i="58"/>
  <c r="K37" i="58"/>
  <c r="K36" i="58"/>
  <c r="K35" i="58"/>
  <c r="K32" i="58"/>
  <c r="K31" i="58"/>
  <c r="K30" i="58"/>
  <c r="K29" i="58"/>
  <c r="K28" i="58"/>
  <c r="K25" i="58"/>
  <c r="K24" i="58"/>
  <c r="K23" i="58"/>
  <c r="K22" i="58"/>
  <c r="K21" i="58"/>
  <c r="J49" i="58"/>
  <c r="J46" i="58"/>
  <c r="J45" i="58"/>
  <c r="J44" i="58"/>
  <c r="J43" i="58"/>
  <c r="J42" i="58"/>
  <c r="J39" i="58"/>
  <c r="J38" i="58"/>
  <c r="J37" i="58"/>
  <c r="J36" i="58"/>
  <c r="J35" i="58"/>
  <c r="J32" i="58"/>
  <c r="J31" i="58"/>
  <c r="J30" i="58"/>
  <c r="J29" i="58"/>
  <c r="J28" i="58"/>
  <c r="J25" i="58"/>
  <c r="J24" i="58"/>
  <c r="J23" i="58"/>
  <c r="J22" i="58"/>
  <c r="J21" i="58"/>
  <c r="U49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W30" i="58" l="1"/>
  <c r="V21" i="67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W33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W49" i="58"/>
  <c r="R2" i="69"/>
  <c r="W32" i="58"/>
  <c r="W26" i="58"/>
  <c r="W34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4" i="58"/>
  <c r="W45" i="58"/>
  <c r="W38" i="58"/>
  <c r="W37" i="58"/>
  <c r="W29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2" i="58" s="1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D43" i="58" s="1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C44" i="58"/>
  <c r="D44" i="58" s="1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D45" i="58" s="1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D49" i="58"/>
  <c r="A49" i="58" s="1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<sst xmlns="http://schemas.openxmlformats.org/spreadsheetml/2006/main" count="1664" uniqueCount="130">
  <si>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</si>
  <si>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</si>
  <si>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</si>
  <si>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</si>
  <si>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</si>
  <si>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</si>
  <si>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</si>
  <si>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</si>
  <si>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</si>
  <si>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</si>
  <si>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</si>
  <si>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</si>
  <si>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</si>
  <si>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</si>
  <si>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</si>
  <si>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</si>
  <si>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</si>
  <si>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</si>
  <si>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</si>
  <si>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</si>
  <si>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</si>
  <si>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</si>
  <si>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</si>
  <si>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</si>
  <si>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</si>
  <si>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</si>
  <si>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</si>
  <si>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</si>
  <si>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</si>
  <si>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</si>
  <si>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</si>
  <si>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</si>
  <si>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</si>
  <si>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</si>
  <si>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</si>
  <si>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</si>
  <si>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</si>
  <si>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</si>
  <si>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</si>
  <si>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</si>
  <si>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</si>
  <si>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</si>
  <si>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</si>
  <si>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</si>
  <si>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</si>
  <si>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</si>
  <si>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</si>
  <si>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</si>
  <si>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</si>
  <si>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</si>
  <si>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</si>
  <si>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</si>
  <si>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</si>
  <si>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</si>
  <si>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</si>
  <si>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</si>
  <si>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</si>
  <si>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</si>
  <si>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</si>
  <si>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</si>
  <si>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</si>
  <si>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</si>
  <si>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</si>
  <si>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</si>
  <si>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</si>
  <si>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</si>
  <si>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</si>
  <si>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</si>
  <si>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</si>
  <si>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</si>
  <si>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</si>
  <si>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</si>
  <si>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</si>
  <si>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</si>
  <si>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</si>
  <si>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</si>
  <si>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</si>
  <si>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</si>
  <si>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</si>
  <si>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</si>
  <si>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</si>
  <si>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</si>
  <si>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</si>
  <si>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</si>
  <si>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</si>
  <si>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</si>
  <si>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</si>
  <si>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</si>
  <si>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</si>
  <si>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</si>
  <si>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</si>
  <si>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</si>
  <si>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</si>
  <si>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</si>
  <si>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</si>
  <si>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</si>
  <si>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</si>
  <si>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</si>
  <si>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</si>
  <si>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</si>
  <si>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</si>
  <si>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</si>
  <si>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</si>
  <si>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</si>
  <si>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</si>
  <si>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</si>
  <si>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</si>
  <si>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</si>
  <si>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</si>
  <si>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</si>
  <si>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</si>
  <si>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</si>
  <si>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</si>
  <si>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</si>
  <si>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</si>
  <si>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</si>
  <si>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</si>
  <si>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</si>
  <si>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</si>
  <si>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</si>
  <si>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</si>
  <si>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</si>
  <si>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</si>
  <si>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</si>
  <si>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</si>
  <si>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</si>
  <si>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</si>
  <si>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</si>
  <si>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</si>
  <si>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13:00~14:00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</si>
</sst>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1" fillId="0" borderId="6" xfId="0" applyFont="1" applyBorder="1" applyAlignment="1">
      <alignment horizontal="left" vertical="top"/>
    </xf>
    <xf numFmtId="0" fontId="24" fillId="0" borderId="6" xfId="0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4" fillId="0" borderId="30" xfId="0" applyFont="1" applyBorder="1" applyAlignment="1">
      <alignment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6" fillId="3" borderId="1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'11月'!R2+1</f>
        <v>13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'10月'!R2+1</f>
        <v>12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44896</v>
      </c>
      <c r="D20" s="100" t="str">
        <f t="shared" ref="D20:D50" si="1">TEXT(C20,"aaa")</f>
        <v>木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44897</v>
      </c>
      <c r="D21" s="100" t="str">
        <f t="shared" si="1"/>
        <v>金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44898</v>
      </c>
      <c r="D22" s="100" t="str">
        <f t="shared" si="1"/>
        <v>土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44899</v>
      </c>
      <c r="D23" s="100" t="str">
        <f t="shared" si="1"/>
        <v>日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44900</v>
      </c>
      <c r="D24" s="100" t="str">
        <f t="shared" si="1"/>
        <v>月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44901</v>
      </c>
      <c r="D25" s="100" t="str">
        <f t="shared" si="1"/>
        <v>火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44902</v>
      </c>
      <c r="D26" s="100" t="str">
        <f t="shared" si="1"/>
        <v>水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44903</v>
      </c>
      <c r="D27" s="100" t="str">
        <f t="shared" si="1"/>
        <v>木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44904</v>
      </c>
      <c r="D28" s="100" t="str">
        <f t="shared" si="1"/>
        <v>金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44905</v>
      </c>
      <c r="D29" s="100" t="str">
        <f t="shared" si="1"/>
        <v>土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44906</v>
      </c>
      <c r="D30" s="100" t="str">
        <f t="shared" si="1"/>
        <v>日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44907</v>
      </c>
      <c r="D31" s="100" t="str">
        <f t="shared" si="1"/>
        <v>月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44908</v>
      </c>
      <c r="D32" s="100" t="str">
        <f t="shared" si="1"/>
        <v>火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44909</v>
      </c>
      <c r="D33" s="100" t="str">
        <f t="shared" si="1"/>
        <v>水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44910</v>
      </c>
      <c r="D34" s="100" t="str">
        <f t="shared" si="1"/>
        <v>木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44911</v>
      </c>
      <c r="D35" s="100" t="str">
        <f t="shared" si="1"/>
        <v>金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44912</v>
      </c>
      <c r="D36" s="100" t="str">
        <f t="shared" si="1"/>
        <v>土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44913</v>
      </c>
      <c r="D37" s="100" t="str">
        <f t="shared" si="1"/>
        <v>日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44914</v>
      </c>
      <c r="D38" s="100" t="str">
        <f t="shared" si="1"/>
        <v>月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44915</v>
      </c>
      <c r="D39" s="100" t="str">
        <f t="shared" si="1"/>
        <v>火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44916</v>
      </c>
      <c r="D40" s="100" t="str">
        <f t="shared" si="1"/>
        <v>水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44917</v>
      </c>
      <c r="D41" s="100" t="str">
        <f t="shared" si="1"/>
        <v>木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44918</v>
      </c>
      <c r="D42" s="100" t="str">
        <f t="shared" si="1"/>
        <v>金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44919</v>
      </c>
      <c r="D43" s="100" t="str">
        <f t="shared" si="1"/>
        <v>土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44920</v>
      </c>
      <c r="D44" s="100" t="str">
        <f t="shared" si="1"/>
        <v>日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44921</v>
      </c>
      <c r="D45" s="100" t="str">
        <f t="shared" si="1"/>
        <v>月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44922</v>
      </c>
      <c r="D46" s="100" t="str">
        <f t="shared" si="1"/>
        <v>火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44923</v>
      </c>
      <c r="D47" s="100" t="str">
        <f t="shared" si="1"/>
        <v>水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44924</v>
      </c>
      <c r="D48" s="100" t="str">
        <f t="shared" si="1"/>
        <v>木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44925</v>
      </c>
      <c r="D49" s="100" t="str">
        <f t="shared" si="1"/>
        <v>金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9">
        <f t="shared" si="6"/>
        <v>44926</v>
      </c>
      <c r="D50" s="100" t="str">
        <f t="shared" si="1"/>
        <v>土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'9月'!R2+1</f>
        <v>11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44866</v>
      </c>
      <c r="D20" s="100" t="str">
        <f t="shared" ref="D20:D50" si="1">TEXT(C20,"aaa")</f>
        <v>火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44867</v>
      </c>
      <c r="D21" s="100" t="str">
        <f t="shared" si="1"/>
        <v>水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44868</v>
      </c>
      <c r="D22" s="100" t="str">
        <f t="shared" si="1"/>
        <v>木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44869</v>
      </c>
      <c r="D23" s="100" t="str">
        <f t="shared" si="1"/>
        <v>金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44870</v>
      </c>
      <c r="D24" s="100" t="str">
        <f t="shared" si="1"/>
        <v>土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44871</v>
      </c>
      <c r="D25" s="100" t="str">
        <f t="shared" si="1"/>
        <v>日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44872</v>
      </c>
      <c r="D26" s="100" t="str">
        <f t="shared" si="1"/>
        <v>月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44873</v>
      </c>
      <c r="D27" s="100" t="str">
        <f t="shared" si="1"/>
        <v>火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44874</v>
      </c>
      <c r="D28" s="100" t="str">
        <f t="shared" si="1"/>
        <v>水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44875</v>
      </c>
      <c r="D29" s="100" t="str">
        <f t="shared" si="1"/>
        <v>木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44876</v>
      </c>
      <c r="D30" s="100" t="str">
        <f t="shared" si="1"/>
        <v>金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44877</v>
      </c>
      <c r="D31" s="100" t="str">
        <f t="shared" si="1"/>
        <v>土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44878</v>
      </c>
      <c r="D32" s="100" t="str">
        <f t="shared" si="1"/>
        <v>日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44879</v>
      </c>
      <c r="D33" s="100" t="str">
        <f t="shared" si="1"/>
        <v>月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44880</v>
      </c>
      <c r="D34" s="100" t="str">
        <f t="shared" si="1"/>
        <v>火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44881</v>
      </c>
      <c r="D35" s="100" t="str">
        <f t="shared" si="1"/>
        <v>水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44882</v>
      </c>
      <c r="D36" s="100" t="str">
        <f t="shared" si="1"/>
        <v>木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44883</v>
      </c>
      <c r="D37" s="100" t="str">
        <f t="shared" si="1"/>
        <v>金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44884</v>
      </c>
      <c r="D38" s="100" t="str">
        <f t="shared" si="1"/>
        <v>土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44885</v>
      </c>
      <c r="D39" s="100" t="str">
        <f t="shared" si="1"/>
        <v>日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44886</v>
      </c>
      <c r="D40" s="100" t="str">
        <f t="shared" si="1"/>
        <v>月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44887</v>
      </c>
      <c r="D41" s="100" t="str">
        <f t="shared" si="1"/>
        <v>火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44888</v>
      </c>
      <c r="D42" s="100" t="str">
        <f t="shared" si="1"/>
        <v>水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44889</v>
      </c>
      <c r="D43" s="100" t="str">
        <f t="shared" si="1"/>
        <v>木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44890</v>
      </c>
      <c r="D44" s="100" t="str">
        <f t="shared" si="1"/>
        <v>金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44891</v>
      </c>
      <c r="D45" s="100" t="str">
        <f t="shared" si="1"/>
        <v>土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44892</v>
      </c>
      <c r="D46" s="100" t="str">
        <f t="shared" si="1"/>
        <v>日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44893</v>
      </c>
      <c r="D47" s="100" t="str">
        <f t="shared" si="1"/>
        <v>月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44894</v>
      </c>
      <c r="D48" s="100" t="str">
        <f t="shared" si="1"/>
        <v>火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44895</v>
      </c>
      <c r="D49" s="100" t="str">
        <f t="shared" si="1"/>
        <v>水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'7月'!R2+1</f>
        <v>10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44835</v>
      </c>
      <c r="D20" s="100" t="str">
        <f t="shared" ref="D20:D50" si="1">TEXT(C20,"aaa")</f>
        <v>土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44836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44837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44838</v>
      </c>
      <c r="D23" s="100" t="str">
        <f t="shared" si="1"/>
        <v>火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44839</v>
      </c>
      <c r="D24" s="100" t="str">
        <f t="shared" si="1"/>
        <v>水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44840</v>
      </c>
      <c r="D25" s="100" t="str">
        <f t="shared" si="1"/>
        <v>木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44841</v>
      </c>
      <c r="D26" s="100" t="str">
        <f t="shared" si="1"/>
        <v>金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44842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44843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44844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44845</v>
      </c>
      <c r="D30" s="100" t="str">
        <f t="shared" si="1"/>
        <v>火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44846</v>
      </c>
      <c r="D31" s="100" t="str">
        <f t="shared" si="1"/>
        <v>水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44847</v>
      </c>
      <c r="D32" s="100" t="str">
        <f t="shared" si="1"/>
        <v>木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44848</v>
      </c>
      <c r="D33" s="100" t="str">
        <f t="shared" si="1"/>
        <v>金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44849</v>
      </c>
      <c r="D34" s="100" t="str">
        <f t="shared" si="1"/>
        <v>土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44850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44851</v>
      </c>
      <c r="D36" s="100" t="str">
        <f t="shared" si="1"/>
        <v>月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44852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44853</v>
      </c>
      <c r="D38" s="100" t="str">
        <f t="shared" si="1"/>
        <v>水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44854</v>
      </c>
      <c r="D39" s="100" t="str">
        <f t="shared" si="1"/>
        <v>木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44855</v>
      </c>
      <c r="D40" s="100" t="str">
        <f t="shared" si="1"/>
        <v>金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44856</v>
      </c>
      <c r="D41" s="100" t="str">
        <f t="shared" si="1"/>
        <v>土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44857</v>
      </c>
      <c r="D42" s="100" t="str">
        <f t="shared" si="1"/>
        <v>日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44858</v>
      </c>
      <c r="D43" s="100" t="str">
        <f t="shared" si="1"/>
        <v>月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44859</v>
      </c>
      <c r="D44" s="100" t="str">
        <f t="shared" si="1"/>
        <v>火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44860</v>
      </c>
      <c r="D45" s="100" t="str">
        <f t="shared" si="1"/>
        <v>水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44861</v>
      </c>
      <c r="D46" s="100" t="str">
        <f t="shared" si="1"/>
        <v>木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44862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44863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44864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44865</v>
      </c>
      <c r="D50" s="100" t="str">
        <f t="shared" si="1"/>
        <v>月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42" activePane="bottomLeft" state="frozen"/>
      <selection activeCell="C12" sqref="C12:L13"/>
      <selection pane="bottomLeft" activeCell="V49" sqref="V49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2024</v>
      </c>
      <c r="P2" s="169"/>
      <c r="Q2" s="61" t="s">
        <v>20</v>
      </c>
      <c r="R2" s="61">
        <v>9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21日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 t="s">
        <v>124</v>
      </c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229" t="s">
        <v>121</v>
      </c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 t="s">
        <v>128</v>
      </c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 t="s">
        <v>126</v>
      </c>
      <c r="G6" s="163"/>
      <c r="H6" s="163"/>
      <c r="I6" s="163"/>
      <c r="J6" s="163"/>
      <c r="K6" s="163"/>
      <c r="L6" s="163"/>
      <c r="M6" s="165"/>
      <c r="N6" s="114" t="s">
        <v>28</v>
      </c>
      <c r="O6" s="184" t="s">
        <v>127</v>
      </c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227" t="s">
        <v>122</v>
      </c>
      <c r="G7" s="228"/>
      <c r="H7" s="228"/>
      <c r="I7" s="228"/>
      <c r="J7" s="228"/>
      <c r="K7" s="228"/>
      <c r="L7" s="228"/>
      <c r="M7" s="228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 t="s">
        <v>125</v>
      </c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>
        <v>0.4375</v>
      </c>
      <c r="P9" s="77" t="s">
        <v>36</v>
      </c>
      <c r="Q9" s="78">
        <v>0.79166666666666663</v>
      </c>
      <c r="R9" s="204" t="s">
        <v>129</v>
      </c>
      <c r="S9" s="205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 t="s">
        <v>120</v>
      </c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45536</v>
      </c>
      <c r="D20" s="100" t="str">
        <f t="shared" ref="D20:D50" si="1">TEXT(C20,"aaa")</f>
        <v>日</v>
      </c>
      <c r="E20" s="101"/>
      <c r="F20" s="102"/>
      <c r="G20" s="103"/>
      <c r="H20" s="103"/>
      <c r="I20" s="104"/>
      <c r="J20" s="105"/>
      <c r="K20" s="103"/>
      <c r="L20" s="103"/>
      <c r="M20" s="103"/>
      <c r="N20" s="100"/>
      <c r="O20" s="157"/>
      <c r="P20" s="66"/>
      <c r="Q20" s="66"/>
      <c r="R20" s="66"/>
      <c r="S20" s="67"/>
      <c r="T20" s="105"/>
      <c r="U20" s="102"/>
      <c r="V20" s="103"/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2">IF(C20="","",IF(DAY(C20+1)=1,"",C20+1))</f>
        <v>45537</v>
      </c>
      <c r="D21" s="100" t="str">
        <f t="shared" si="1"/>
        <v>月</v>
      </c>
      <c r="E21" s="101">
        <v>0.4375</v>
      </c>
      <c r="F21" s="102">
        <v>0.79166666666666663</v>
      </c>
      <c r="G21" s="103">
        <v>0.54166666666666663</v>
      </c>
      <c r="H21" s="103" t="s">
        <v>36</v>
      </c>
      <c r="I21" s="104">
        <v>0.58333333333333337</v>
      </c>
      <c r="J21" s="105">
        <f t="shared" ref="J20:J49" si="3">IFERROR(IF(G21="",0,I21-G21),"")</f>
        <v>4.1666666666666741E-2</v>
      </c>
      <c r="K21" s="103">
        <f t="shared" ref="K20:K49" si="4">IFERROR(IF(E21="",0,F21-E21-J21),"")</f>
        <v>0.31249999999999989</v>
      </c>
      <c r="L21" s="103"/>
      <c r="M21" s="145"/>
      <c r="N21" s="100"/>
      <c r="O21" s="157" t="s">
        <v>123</v>
      </c>
      <c r="P21" s="66"/>
      <c r="Q21" s="66"/>
      <c r="R21" s="66"/>
      <c r="S21" s="67"/>
      <c r="T21" s="105">
        <f t="shared" ref="T20:U45" si="5">E21</f>
        <v>0.4375</v>
      </c>
      <c r="U21" s="102">
        <f t="shared" ref="U20:U49" si="6">F21</f>
        <v>0.79166666666666663</v>
      </c>
      <c r="V21" s="103">
        <f t="shared" ref="V20:V49" si="7">IFERROR(IF(T21="",0,U21-T21-J21),"")</f>
        <v>0.31249999999999989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2"/>
        <v>45538</v>
      </c>
      <c r="D22" s="100" t="str">
        <f t="shared" si="1"/>
        <v>火</v>
      </c>
      <c r="E22" s="101">
        <v>0.4375</v>
      </c>
      <c r="F22" s="102">
        <v>0.79166666666666663</v>
      </c>
      <c r="G22" s="103">
        <v>0.54166666666666663</v>
      </c>
      <c r="H22" s="103" t="s">
        <v>36</v>
      </c>
      <c r="I22" s="104">
        <v>0.58333333333333337</v>
      </c>
      <c r="J22" s="105">
        <f t="shared" si="3"/>
        <v>4.1666666666666741E-2</v>
      </c>
      <c r="K22" s="103">
        <f t="shared" si="4"/>
        <v>0.31249999999999989</v>
      </c>
      <c r="L22" s="103"/>
      <c r="M22" s="145"/>
      <c r="N22" s="100"/>
      <c r="O22" s="157" t="s">
        <v>123</v>
      </c>
      <c r="P22" s="66"/>
      <c r="Q22" s="66"/>
      <c r="R22" s="66"/>
      <c r="S22" s="67"/>
      <c r="T22" s="105">
        <f t="shared" si="5"/>
        <v>0.4375</v>
      </c>
      <c r="U22" s="102">
        <f t="shared" si="6"/>
        <v>0.79166666666666663</v>
      </c>
      <c r="V22" s="103">
        <f t="shared" si="7"/>
        <v>0.31249999999999989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2"/>
        <v>45539</v>
      </c>
      <c r="D23" s="100" t="str">
        <f t="shared" si="1"/>
        <v>水</v>
      </c>
      <c r="E23" s="101">
        <v>0.4375</v>
      </c>
      <c r="F23" s="102">
        <v>0.79166666666666663</v>
      </c>
      <c r="G23" s="103">
        <v>0.54166666666666663</v>
      </c>
      <c r="H23" s="103" t="s">
        <v>36</v>
      </c>
      <c r="I23" s="104">
        <v>0.58333333333333337</v>
      </c>
      <c r="J23" s="105">
        <f t="shared" si="3"/>
        <v>4.1666666666666741E-2</v>
      </c>
      <c r="K23" s="103">
        <f t="shared" si="4"/>
        <v>0.31249999999999989</v>
      </c>
      <c r="L23" s="103"/>
      <c r="M23" s="145"/>
      <c r="N23" s="100"/>
      <c r="O23" s="157" t="s">
        <v>123</v>
      </c>
      <c r="P23" s="66"/>
      <c r="Q23" s="66"/>
      <c r="R23" s="66"/>
      <c r="S23" s="67"/>
      <c r="T23" s="105">
        <f t="shared" si="5"/>
        <v>0.4375</v>
      </c>
      <c r="U23" s="102">
        <f t="shared" si="6"/>
        <v>0.79166666666666663</v>
      </c>
      <c r="V23" s="103">
        <f t="shared" si="7"/>
        <v>0.31249999999999989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2"/>
        <v>45540</v>
      </c>
      <c r="D24" s="100" t="str">
        <f t="shared" si="1"/>
        <v>木</v>
      </c>
      <c r="E24" s="101">
        <v>0.4375</v>
      </c>
      <c r="F24" s="102">
        <v>0.79166666666666663</v>
      </c>
      <c r="G24" s="103">
        <v>0.54166666666666663</v>
      </c>
      <c r="H24" s="103" t="s">
        <v>36</v>
      </c>
      <c r="I24" s="104">
        <v>0.58333333333333337</v>
      </c>
      <c r="J24" s="105">
        <f t="shared" si="3"/>
        <v>4.1666666666666741E-2</v>
      </c>
      <c r="K24" s="103">
        <f t="shared" si="4"/>
        <v>0.31249999999999989</v>
      </c>
      <c r="L24" s="103"/>
      <c r="M24" s="145"/>
      <c r="N24" s="100"/>
      <c r="O24" s="157" t="s">
        <v>123</v>
      </c>
      <c r="P24" s="66"/>
      <c r="Q24" s="66"/>
      <c r="R24" s="66"/>
      <c r="S24" s="67"/>
      <c r="T24" s="105">
        <f t="shared" si="5"/>
        <v>0.4375</v>
      </c>
      <c r="U24" s="102">
        <f t="shared" si="6"/>
        <v>0.79166666666666663</v>
      </c>
      <c r="V24" s="103">
        <f t="shared" si="7"/>
        <v>0.31249999999999989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2"/>
        <v>45541</v>
      </c>
      <c r="D25" s="100" t="str">
        <f t="shared" si="1"/>
        <v>金</v>
      </c>
      <c r="E25" s="101">
        <v>0.4375</v>
      </c>
      <c r="F25" s="102">
        <v>0.79166666666666663</v>
      </c>
      <c r="G25" s="103">
        <v>0.54166666666666663</v>
      </c>
      <c r="H25" s="103" t="s">
        <v>36</v>
      </c>
      <c r="I25" s="104">
        <v>0.58333333333333337</v>
      </c>
      <c r="J25" s="105">
        <f t="shared" si="3"/>
        <v>4.1666666666666741E-2</v>
      </c>
      <c r="K25" s="103">
        <f t="shared" si="4"/>
        <v>0.31249999999999989</v>
      </c>
      <c r="L25" s="103"/>
      <c r="M25" s="145"/>
      <c r="N25" s="100"/>
      <c r="O25" s="157" t="s">
        <v>123</v>
      </c>
      <c r="P25" s="66"/>
      <c r="Q25" s="66"/>
      <c r="R25" s="66"/>
      <c r="S25" s="67"/>
      <c r="T25" s="105">
        <f t="shared" si="5"/>
        <v>0.4375</v>
      </c>
      <c r="U25" s="102">
        <f t="shared" si="6"/>
        <v>0.79166666666666663</v>
      </c>
      <c r="V25" s="103">
        <f t="shared" si="7"/>
        <v>0.31249999999999989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2"/>
        <v>45542</v>
      </c>
      <c r="D26" s="100" t="str">
        <f t="shared" si="1"/>
        <v>土</v>
      </c>
      <c r="E26" s="101"/>
      <c r="F26" s="102"/>
      <c r="G26" s="103"/>
      <c r="H26" s="103"/>
      <c r="I26" s="104"/>
      <c r="J26" s="105"/>
      <c r="K26" s="103"/>
      <c r="L26" s="103"/>
      <c r="M26" s="145"/>
      <c r="N26" s="100"/>
      <c r="O26" s="157"/>
      <c r="P26" s="66"/>
      <c r="Q26" s="66"/>
      <c r="R26" s="66"/>
      <c r="S26" s="67"/>
      <c r="T26" s="105"/>
      <c r="U26" s="102"/>
      <c r="V26" s="103"/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2"/>
        <v>45543</v>
      </c>
      <c r="D27" s="100" t="str">
        <f t="shared" si="1"/>
        <v>日</v>
      </c>
      <c r="E27" s="101"/>
      <c r="F27" s="102"/>
      <c r="G27" s="103"/>
      <c r="H27" s="103"/>
      <c r="I27" s="104"/>
      <c r="J27" s="105"/>
      <c r="K27" s="103"/>
      <c r="L27" s="103"/>
      <c r="M27" s="145"/>
      <c r="N27" s="100"/>
      <c r="O27" s="157"/>
      <c r="P27" s="66"/>
      <c r="Q27" s="66"/>
      <c r="R27" s="66"/>
      <c r="S27" s="67"/>
      <c r="T27" s="105"/>
      <c r="U27" s="102"/>
      <c r="V27" s="103"/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2"/>
        <v>45544</v>
      </c>
      <c r="D28" s="100" t="str">
        <f t="shared" si="1"/>
        <v>月</v>
      </c>
      <c r="E28" s="101">
        <v>0.4375</v>
      </c>
      <c r="F28" s="102">
        <v>0.79166666666666663</v>
      </c>
      <c r="G28" s="103">
        <v>0.54166666666666663</v>
      </c>
      <c r="H28" s="103" t="s">
        <v>36</v>
      </c>
      <c r="I28" s="104">
        <v>0.58333333333333337</v>
      </c>
      <c r="J28" s="105">
        <f t="shared" si="3"/>
        <v>4.1666666666666741E-2</v>
      </c>
      <c r="K28" s="103">
        <f t="shared" si="4"/>
        <v>0.31249999999999989</v>
      </c>
      <c r="L28" s="103"/>
      <c r="M28" s="145"/>
      <c r="N28" s="100"/>
      <c r="O28" s="157" t="s">
        <v>123</v>
      </c>
      <c r="P28" s="66"/>
      <c r="Q28" s="66"/>
      <c r="R28" s="66"/>
      <c r="S28" s="67"/>
      <c r="T28" s="105">
        <f t="shared" si="5"/>
        <v>0.4375</v>
      </c>
      <c r="U28" s="102">
        <f t="shared" si="6"/>
        <v>0.79166666666666663</v>
      </c>
      <c r="V28" s="103">
        <f t="shared" si="7"/>
        <v>0.31249999999999989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2"/>
        <v>45545</v>
      </c>
      <c r="D29" s="100" t="str">
        <f t="shared" si="1"/>
        <v>火</v>
      </c>
      <c r="E29" s="101">
        <v>0.4375</v>
      </c>
      <c r="F29" s="102">
        <v>0.79166666666666663</v>
      </c>
      <c r="G29" s="103">
        <v>0.54166666666666663</v>
      </c>
      <c r="H29" s="103" t="s">
        <v>36</v>
      </c>
      <c r="I29" s="104">
        <v>0.58333333333333337</v>
      </c>
      <c r="J29" s="105">
        <f t="shared" si="3"/>
        <v>4.1666666666666741E-2</v>
      </c>
      <c r="K29" s="103">
        <f t="shared" si="4"/>
        <v>0.31249999999999989</v>
      </c>
      <c r="L29" s="103"/>
      <c r="M29" s="145"/>
      <c r="N29" s="100"/>
      <c r="O29" s="157" t="s">
        <v>123</v>
      </c>
      <c r="P29" s="66"/>
      <c r="Q29" s="66"/>
      <c r="R29" s="66"/>
      <c r="S29" s="67"/>
      <c r="T29" s="105">
        <f t="shared" si="5"/>
        <v>0.4375</v>
      </c>
      <c r="U29" s="102">
        <f t="shared" si="6"/>
        <v>0.79166666666666663</v>
      </c>
      <c r="V29" s="103">
        <f t="shared" si="7"/>
        <v>0.31249999999999989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2"/>
        <v>45546</v>
      </c>
      <c r="D30" s="100" t="str">
        <f t="shared" si="1"/>
        <v>水</v>
      </c>
      <c r="E30" s="101">
        <v>0.4375</v>
      </c>
      <c r="F30" s="102">
        <v>0.79166666666666663</v>
      </c>
      <c r="G30" s="103">
        <v>0.54166666666666663</v>
      </c>
      <c r="H30" s="103" t="s">
        <v>36</v>
      </c>
      <c r="I30" s="104">
        <v>0.58333333333333337</v>
      </c>
      <c r="J30" s="105">
        <f t="shared" si="3"/>
        <v>4.1666666666666741E-2</v>
      </c>
      <c r="K30" s="103">
        <f t="shared" si="4"/>
        <v>0.31249999999999989</v>
      </c>
      <c r="L30" s="103"/>
      <c r="M30" s="145"/>
      <c r="N30" s="100"/>
      <c r="O30" s="157" t="s">
        <v>123</v>
      </c>
      <c r="P30" s="66"/>
      <c r="Q30" s="66"/>
      <c r="R30" s="66"/>
      <c r="S30" s="67"/>
      <c r="T30" s="105">
        <f t="shared" si="5"/>
        <v>0.4375</v>
      </c>
      <c r="U30" s="102">
        <f t="shared" si="6"/>
        <v>0.79166666666666663</v>
      </c>
      <c r="V30" s="103">
        <f t="shared" si="7"/>
        <v>0.31249999999999989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2"/>
        <v>45547</v>
      </c>
      <c r="D31" s="100" t="str">
        <f t="shared" si="1"/>
        <v>木</v>
      </c>
      <c r="E31" s="101">
        <v>0.4375</v>
      </c>
      <c r="F31" s="102">
        <v>0.79166666666666663</v>
      </c>
      <c r="G31" s="103">
        <v>0.54166666666666663</v>
      </c>
      <c r="H31" s="103" t="s">
        <v>36</v>
      </c>
      <c r="I31" s="104">
        <v>0.58333333333333337</v>
      </c>
      <c r="J31" s="105">
        <f t="shared" si="3"/>
        <v>4.1666666666666741E-2</v>
      </c>
      <c r="K31" s="103">
        <f t="shared" si="4"/>
        <v>0.31249999999999989</v>
      </c>
      <c r="L31" s="103"/>
      <c r="M31" s="145"/>
      <c r="N31" s="100"/>
      <c r="O31" s="157" t="s">
        <v>123</v>
      </c>
      <c r="P31" s="66"/>
      <c r="Q31" s="66"/>
      <c r="R31" s="66"/>
      <c r="S31" s="67"/>
      <c r="T31" s="105">
        <f t="shared" si="5"/>
        <v>0.4375</v>
      </c>
      <c r="U31" s="102">
        <f t="shared" si="6"/>
        <v>0.79166666666666663</v>
      </c>
      <c r="V31" s="103">
        <f t="shared" si="7"/>
        <v>0.31249999999999989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2"/>
        <v>45548</v>
      </c>
      <c r="D32" s="100" t="str">
        <f t="shared" si="1"/>
        <v>金</v>
      </c>
      <c r="E32" s="101">
        <v>0.4375</v>
      </c>
      <c r="F32" s="102">
        <v>0.79166666666666663</v>
      </c>
      <c r="G32" s="103">
        <v>0.54166666666666663</v>
      </c>
      <c r="H32" s="103" t="s">
        <v>36</v>
      </c>
      <c r="I32" s="104">
        <v>0.58333333333333337</v>
      </c>
      <c r="J32" s="105">
        <f t="shared" si="3"/>
        <v>4.1666666666666741E-2</v>
      </c>
      <c r="K32" s="103">
        <f t="shared" si="4"/>
        <v>0.31249999999999989</v>
      </c>
      <c r="L32" s="103"/>
      <c r="M32" s="145"/>
      <c r="N32" s="100"/>
      <c r="O32" s="157" t="s">
        <v>123</v>
      </c>
      <c r="P32" s="66"/>
      <c r="Q32" s="66"/>
      <c r="R32" s="66"/>
      <c r="S32" s="67"/>
      <c r="T32" s="105">
        <f t="shared" si="5"/>
        <v>0.4375</v>
      </c>
      <c r="U32" s="102">
        <f t="shared" si="6"/>
        <v>0.79166666666666663</v>
      </c>
      <c r="V32" s="103">
        <f t="shared" si="7"/>
        <v>0.31249999999999989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2"/>
        <v>45549</v>
      </c>
      <c r="D33" s="100" t="str">
        <f t="shared" si="1"/>
        <v>土</v>
      </c>
      <c r="E33" s="101"/>
      <c r="F33" s="102"/>
      <c r="G33" s="103"/>
      <c r="H33" s="103"/>
      <c r="I33" s="104"/>
      <c r="J33" s="105"/>
      <c r="K33" s="103"/>
      <c r="L33" s="103"/>
      <c r="M33" s="145"/>
      <c r="N33" s="100"/>
      <c r="O33" s="157"/>
      <c r="P33" s="66"/>
      <c r="Q33" s="66"/>
      <c r="R33" s="66"/>
      <c r="S33" s="67"/>
      <c r="T33" s="105"/>
      <c r="U33" s="102"/>
      <c r="V33" s="103"/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2"/>
        <v>45550</v>
      </c>
      <c r="D34" s="100" t="str">
        <f t="shared" si="1"/>
        <v>日</v>
      </c>
      <c r="E34" s="101"/>
      <c r="F34" s="102"/>
      <c r="G34" s="103"/>
      <c r="H34" s="103"/>
      <c r="I34" s="104"/>
      <c r="J34" s="105"/>
      <c r="K34" s="103"/>
      <c r="L34" s="103"/>
      <c r="M34" s="145"/>
      <c r="N34" s="100"/>
      <c r="O34" s="157"/>
      <c r="P34" s="66"/>
      <c r="Q34" s="66"/>
      <c r="R34" s="66"/>
      <c r="S34" s="67"/>
      <c r="T34" s="105"/>
      <c r="U34" s="102"/>
      <c r="V34" s="103"/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2"/>
        <v>45551</v>
      </c>
      <c r="D35" s="100" t="str">
        <f t="shared" si="1"/>
        <v>月</v>
      </c>
      <c r="E35" s="101">
        <v>0.4375</v>
      </c>
      <c r="F35" s="102">
        <v>0.79166666666666663</v>
      </c>
      <c r="G35" s="103">
        <v>0.54166666666666663</v>
      </c>
      <c r="H35" s="103" t="s">
        <v>36</v>
      </c>
      <c r="I35" s="104">
        <v>0.58333333333333337</v>
      </c>
      <c r="J35" s="105">
        <f t="shared" si="3"/>
        <v>4.1666666666666741E-2</v>
      </c>
      <c r="K35" s="103">
        <f t="shared" si="4"/>
        <v>0.31249999999999989</v>
      </c>
      <c r="L35" s="103"/>
      <c r="M35" s="145"/>
      <c r="N35" s="100"/>
      <c r="O35" s="157" t="s">
        <v>123</v>
      </c>
      <c r="P35" s="66"/>
      <c r="Q35" s="66"/>
      <c r="R35" s="66"/>
      <c r="S35" s="67"/>
      <c r="T35" s="105">
        <f t="shared" si="5"/>
        <v>0.4375</v>
      </c>
      <c r="U35" s="102">
        <f t="shared" si="6"/>
        <v>0.79166666666666663</v>
      </c>
      <c r="V35" s="103">
        <f t="shared" si="7"/>
        <v>0.31249999999999989</v>
      </c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2"/>
        <v>45552</v>
      </c>
      <c r="D36" s="100" t="str">
        <f t="shared" si="1"/>
        <v>火</v>
      </c>
      <c r="E36" s="101">
        <v>0.4375</v>
      </c>
      <c r="F36" s="102">
        <v>0.79166666666666663</v>
      </c>
      <c r="G36" s="103">
        <v>0.54166666666666663</v>
      </c>
      <c r="H36" s="103" t="s">
        <v>36</v>
      </c>
      <c r="I36" s="104">
        <v>0.58333333333333337</v>
      </c>
      <c r="J36" s="105">
        <f t="shared" si="3"/>
        <v>4.1666666666666741E-2</v>
      </c>
      <c r="K36" s="103">
        <f t="shared" si="4"/>
        <v>0.31249999999999989</v>
      </c>
      <c r="L36" s="103"/>
      <c r="M36" s="145"/>
      <c r="N36" s="100"/>
      <c r="O36" s="157" t="s">
        <v>123</v>
      </c>
      <c r="P36" s="66"/>
      <c r="Q36" s="66"/>
      <c r="R36" s="66"/>
      <c r="S36" s="67"/>
      <c r="T36" s="105">
        <f t="shared" si="5"/>
        <v>0.4375</v>
      </c>
      <c r="U36" s="102">
        <f t="shared" si="6"/>
        <v>0.79166666666666663</v>
      </c>
      <c r="V36" s="103">
        <f t="shared" si="7"/>
        <v>0.31249999999999989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2"/>
        <v>45553</v>
      </c>
      <c r="D37" s="100" t="str">
        <f t="shared" si="1"/>
        <v>水</v>
      </c>
      <c r="E37" s="101">
        <v>0.4375</v>
      </c>
      <c r="F37" s="102">
        <v>0.79166666666666663</v>
      </c>
      <c r="G37" s="103">
        <v>0.54166666666666663</v>
      </c>
      <c r="H37" s="103" t="s">
        <v>36</v>
      </c>
      <c r="I37" s="104">
        <v>0.58333333333333337</v>
      </c>
      <c r="J37" s="105">
        <f t="shared" si="3"/>
        <v>4.1666666666666741E-2</v>
      </c>
      <c r="K37" s="103">
        <f t="shared" si="4"/>
        <v>0.31249999999999989</v>
      </c>
      <c r="L37" s="103"/>
      <c r="M37" s="146"/>
      <c r="N37" s="100"/>
      <c r="O37" s="157" t="s">
        <v>123</v>
      </c>
      <c r="P37" s="66"/>
      <c r="Q37" s="66"/>
      <c r="R37" s="66"/>
      <c r="S37" s="67"/>
      <c r="T37" s="105">
        <f t="shared" si="5"/>
        <v>0.4375</v>
      </c>
      <c r="U37" s="102">
        <f t="shared" si="6"/>
        <v>0.79166666666666663</v>
      </c>
      <c r="V37" s="103">
        <f t="shared" si="7"/>
        <v>0.31249999999999989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2"/>
        <v>45554</v>
      </c>
      <c r="D38" s="100" t="str">
        <f t="shared" si="1"/>
        <v>木</v>
      </c>
      <c r="E38" s="101">
        <v>0.4375</v>
      </c>
      <c r="F38" s="102">
        <v>0.79166666666666663</v>
      </c>
      <c r="G38" s="103">
        <v>0.54166666666666663</v>
      </c>
      <c r="H38" s="103" t="s">
        <v>36</v>
      </c>
      <c r="I38" s="104">
        <v>0.58333333333333337</v>
      </c>
      <c r="J38" s="105">
        <f t="shared" si="3"/>
        <v>4.1666666666666741E-2</v>
      </c>
      <c r="K38" s="103">
        <f t="shared" si="4"/>
        <v>0.31249999999999989</v>
      </c>
      <c r="L38" s="103"/>
      <c r="M38" s="145"/>
      <c r="N38" s="100"/>
      <c r="O38" s="157" t="s">
        <v>123</v>
      </c>
      <c r="P38" s="66"/>
      <c r="Q38" s="66"/>
      <c r="R38" s="66"/>
      <c r="S38" s="67"/>
      <c r="T38" s="105">
        <f t="shared" si="5"/>
        <v>0.4375</v>
      </c>
      <c r="U38" s="102">
        <f t="shared" si="6"/>
        <v>0.79166666666666663</v>
      </c>
      <c r="V38" s="103">
        <f t="shared" si="7"/>
        <v>0.31249999999999989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2"/>
        <v>45555</v>
      </c>
      <c r="D39" s="100" t="str">
        <f t="shared" si="1"/>
        <v>金</v>
      </c>
      <c r="E39" s="101">
        <v>0.4375</v>
      </c>
      <c r="F39" s="102">
        <v>0.79166666666666663</v>
      </c>
      <c r="G39" s="103">
        <v>0.54166666666666663</v>
      </c>
      <c r="H39" s="103" t="s">
        <v>36</v>
      </c>
      <c r="I39" s="104">
        <v>0.58333333333333337</v>
      </c>
      <c r="J39" s="105">
        <f t="shared" si="3"/>
        <v>4.1666666666666741E-2</v>
      </c>
      <c r="K39" s="103">
        <f t="shared" si="4"/>
        <v>0.31249999999999989</v>
      </c>
      <c r="L39" s="103"/>
      <c r="M39" s="145"/>
      <c r="N39" s="147"/>
      <c r="O39" s="157" t="s">
        <v>123</v>
      </c>
      <c r="P39" s="66"/>
      <c r="Q39" s="66"/>
      <c r="R39" s="66"/>
      <c r="S39" s="67"/>
      <c r="T39" s="105">
        <f t="shared" si="5"/>
        <v>0.4375</v>
      </c>
      <c r="U39" s="102">
        <f t="shared" si="6"/>
        <v>0.79166666666666663</v>
      </c>
      <c r="V39" s="103">
        <f t="shared" si="7"/>
        <v>0.31249999999999989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2"/>
        <v>45556</v>
      </c>
      <c r="D40" s="100" t="str">
        <f t="shared" si="1"/>
        <v>土</v>
      </c>
      <c r="E40" s="101"/>
      <c r="F40" s="102"/>
      <c r="G40" s="103"/>
      <c r="H40" s="103"/>
      <c r="I40" s="104"/>
      <c r="J40" s="105"/>
      <c r="K40" s="103"/>
      <c r="L40" s="103"/>
      <c r="M40" s="145"/>
      <c r="N40" s="100"/>
      <c r="O40" s="157"/>
      <c r="P40" s="66"/>
      <c r="Q40" s="66"/>
      <c r="R40" s="66"/>
      <c r="S40" s="67"/>
      <c r="T40" s="105"/>
      <c r="U40" s="102"/>
      <c r="V40" s="103"/>
      <c r="W40" s="103"/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2"/>
        <v>45557</v>
      </c>
      <c r="D41" s="100" t="str">
        <f t="shared" si="1"/>
        <v>日</v>
      </c>
      <c r="E41" s="101"/>
      <c r="F41" s="102"/>
      <c r="G41" s="103"/>
      <c r="H41" s="103"/>
      <c r="I41" s="104"/>
      <c r="J41" s="105"/>
      <c r="K41" s="103"/>
      <c r="L41" s="103"/>
      <c r="M41" s="145"/>
      <c r="N41" s="100"/>
      <c r="O41" s="157"/>
      <c r="P41" s="66"/>
      <c r="Q41" s="66"/>
      <c r="R41" s="66"/>
      <c r="S41" s="67"/>
      <c r="T41" s="105"/>
      <c r="U41" s="102"/>
      <c r="V41" s="103"/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2"/>
        <v>45558</v>
      </c>
      <c r="D42" s="100" t="str">
        <f t="shared" si="1"/>
        <v>月</v>
      </c>
      <c r="E42" s="101">
        <v>0.4375</v>
      </c>
      <c r="F42" s="102">
        <v>0.79166666666666663</v>
      </c>
      <c r="G42" s="103">
        <v>0.54166666666666663</v>
      </c>
      <c r="H42" s="103" t="s">
        <v>36</v>
      </c>
      <c r="I42" s="104">
        <v>0.58333333333333337</v>
      </c>
      <c r="J42" s="105">
        <f t="shared" si="3"/>
        <v>4.1666666666666741E-2</v>
      </c>
      <c r="K42" s="103">
        <f t="shared" si="4"/>
        <v>0.31249999999999989</v>
      </c>
      <c r="L42" s="103"/>
      <c r="M42" s="145"/>
      <c r="N42" s="100"/>
      <c r="O42" s="157" t="s">
        <v>123</v>
      </c>
      <c r="P42" s="66"/>
      <c r="Q42" s="66"/>
      <c r="R42" s="66"/>
      <c r="S42" s="67"/>
      <c r="T42" s="105">
        <f t="shared" si="5"/>
        <v>0.4375</v>
      </c>
      <c r="U42" s="102">
        <f t="shared" si="6"/>
        <v>0.79166666666666663</v>
      </c>
      <c r="V42" s="103">
        <f t="shared" si="7"/>
        <v>0.31249999999999989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2"/>
        <v>45559</v>
      </c>
      <c r="D43" s="100" t="str">
        <f t="shared" si="1"/>
        <v>火</v>
      </c>
      <c r="E43" s="101">
        <v>0.4375</v>
      </c>
      <c r="F43" s="102">
        <v>0.79166666666666663</v>
      </c>
      <c r="G43" s="103">
        <v>0.54166666666666663</v>
      </c>
      <c r="H43" s="103" t="s">
        <v>36</v>
      </c>
      <c r="I43" s="104">
        <v>0.58333333333333337</v>
      </c>
      <c r="J43" s="105">
        <f t="shared" si="3"/>
        <v>4.1666666666666741E-2</v>
      </c>
      <c r="K43" s="103">
        <f t="shared" si="4"/>
        <v>0.31249999999999989</v>
      </c>
      <c r="L43" s="103"/>
      <c r="M43" s="145"/>
      <c r="N43" s="100"/>
      <c r="O43" s="157" t="s">
        <v>123</v>
      </c>
      <c r="P43" s="66"/>
      <c r="Q43" s="66"/>
      <c r="R43" s="66"/>
      <c r="S43" s="67"/>
      <c r="T43" s="105">
        <f t="shared" si="5"/>
        <v>0.4375</v>
      </c>
      <c r="U43" s="102">
        <f t="shared" si="6"/>
        <v>0.79166666666666663</v>
      </c>
      <c r="V43" s="103">
        <f t="shared" si="7"/>
        <v>0.31249999999999989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2"/>
        <v>45560</v>
      </c>
      <c r="D44" s="100" t="str">
        <f t="shared" si="1"/>
        <v>水</v>
      </c>
      <c r="E44" s="101">
        <v>0.4375</v>
      </c>
      <c r="F44" s="102">
        <v>0.79166666666666663</v>
      </c>
      <c r="G44" s="103">
        <v>0.54166666666666663</v>
      </c>
      <c r="H44" s="103" t="s">
        <v>36</v>
      </c>
      <c r="I44" s="104">
        <v>0.58333333333333337</v>
      </c>
      <c r="J44" s="105">
        <f t="shared" si="3"/>
        <v>4.1666666666666741E-2</v>
      </c>
      <c r="K44" s="103">
        <f t="shared" si="4"/>
        <v>0.31249999999999989</v>
      </c>
      <c r="L44" s="103"/>
      <c r="M44" s="145"/>
      <c r="N44" s="100"/>
      <c r="O44" s="157" t="s">
        <v>123</v>
      </c>
      <c r="P44" s="66"/>
      <c r="Q44" s="66"/>
      <c r="R44" s="66"/>
      <c r="S44" s="67"/>
      <c r="T44" s="105">
        <f t="shared" si="5"/>
        <v>0.4375</v>
      </c>
      <c r="U44" s="102">
        <f t="shared" si="6"/>
        <v>0.79166666666666663</v>
      </c>
      <c r="V44" s="103">
        <f t="shared" si="7"/>
        <v>0.31249999999999989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2"/>
        <v>45561</v>
      </c>
      <c r="D45" s="100" t="str">
        <f t="shared" si="1"/>
        <v>木</v>
      </c>
      <c r="E45" s="101">
        <v>0.4375</v>
      </c>
      <c r="F45" s="102">
        <v>0.79166666666666663</v>
      </c>
      <c r="G45" s="103">
        <v>0.54166666666666663</v>
      </c>
      <c r="H45" s="103" t="s">
        <v>36</v>
      </c>
      <c r="I45" s="104">
        <v>0.58333333333333337</v>
      </c>
      <c r="J45" s="105">
        <f t="shared" si="3"/>
        <v>4.1666666666666741E-2</v>
      </c>
      <c r="K45" s="103">
        <f t="shared" si="4"/>
        <v>0.31249999999999989</v>
      </c>
      <c r="L45" s="103"/>
      <c r="M45" s="145"/>
      <c r="N45" s="100"/>
      <c r="O45" s="157" t="s">
        <v>123</v>
      </c>
      <c r="P45" s="66"/>
      <c r="Q45" s="66"/>
      <c r="R45" s="66"/>
      <c r="S45" s="67"/>
      <c r="T45" s="105">
        <f t="shared" si="5"/>
        <v>0.4375</v>
      </c>
      <c r="U45" s="102">
        <f t="shared" si="6"/>
        <v>0.79166666666666663</v>
      </c>
      <c r="V45" s="103">
        <f t="shared" si="7"/>
        <v>0.31249999999999989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2"/>
        <v>45562</v>
      </c>
      <c r="D46" s="100" t="str">
        <f t="shared" si="1"/>
        <v>金</v>
      </c>
      <c r="E46" s="101">
        <v>0.4375</v>
      </c>
      <c r="F46" s="102">
        <v>0.79166666666666663</v>
      </c>
      <c r="G46" s="103">
        <v>0.54166666666666663</v>
      </c>
      <c r="H46" s="103" t="s">
        <v>36</v>
      </c>
      <c r="I46" s="104">
        <v>0.58333333333333337</v>
      </c>
      <c r="J46" s="105">
        <f t="shared" si="3"/>
        <v>4.1666666666666741E-2</v>
      </c>
      <c r="K46" s="103">
        <f t="shared" si="4"/>
        <v>0.31249999999999989</v>
      </c>
      <c r="L46" s="103"/>
      <c r="M46" s="145"/>
      <c r="N46" s="100"/>
      <c r="O46" s="157" t="s">
        <v>123</v>
      </c>
      <c r="P46" s="66"/>
      <c r="Q46" s="66"/>
      <c r="R46" s="66"/>
      <c r="S46" s="67"/>
      <c r="T46" s="105">
        <f t="shared" ref="T46:T49" si="9">E46</f>
        <v>0.4375</v>
      </c>
      <c r="U46" s="102">
        <f t="shared" si="6"/>
        <v>0.79166666666666663</v>
      </c>
      <c r="V46" s="103">
        <f t="shared" si="7"/>
        <v>0.31249999999999989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2"/>
        <v>45563</v>
      </c>
      <c r="D47" s="100" t="str">
        <f t="shared" si="1"/>
        <v>土</v>
      </c>
      <c r="E47" s="101"/>
      <c r="F47" s="102"/>
      <c r="G47" s="103"/>
      <c r="H47" s="103"/>
      <c r="I47" s="104"/>
      <c r="J47" s="105"/>
      <c r="K47" s="103"/>
      <c r="L47" s="103"/>
      <c r="M47" s="145"/>
      <c r="N47" s="100"/>
      <c r="O47" s="157"/>
      <c r="P47" s="66"/>
      <c r="Q47" s="66"/>
      <c r="R47" s="66"/>
      <c r="S47" s="67"/>
      <c r="T47" s="105"/>
      <c r="U47" s="102"/>
      <c r="V47" s="103"/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2"/>
        <v>45564</v>
      </c>
      <c r="D48" s="100" t="str">
        <f t="shared" si="1"/>
        <v>日</v>
      </c>
      <c r="E48" s="101"/>
      <c r="F48" s="102"/>
      <c r="G48" s="103"/>
      <c r="H48" s="103"/>
      <c r="I48" s="104"/>
      <c r="J48" s="105"/>
      <c r="K48" s="103"/>
      <c r="L48" s="103"/>
      <c r="M48" s="145"/>
      <c r="N48" s="100"/>
      <c r="O48" s="157"/>
      <c r="P48" s="66"/>
      <c r="Q48" s="66"/>
      <c r="R48" s="66"/>
      <c r="S48" s="67"/>
      <c r="T48" s="105"/>
      <c r="U48" s="102"/>
      <c r="V48" s="103"/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2"/>
        <v>45565</v>
      </c>
      <c r="D49" s="100" t="str">
        <f t="shared" si="1"/>
        <v>月</v>
      </c>
      <c r="E49" s="101">
        <v>0.4375</v>
      </c>
      <c r="F49" s="102">
        <v>0.79166666666666663</v>
      </c>
      <c r="G49" s="103">
        <v>0.54166666666666663</v>
      </c>
      <c r="H49" s="103" t="s">
        <v>36</v>
      </c>
      <c r="I49" s="104">
        <v>0.58333333333333337</v>
      </c>
      <c r="J49" s="105">
        <f t="shared" si="3"/>
        <v>4.1666666666666741E-2</v>
      </c>
      <c r="K49" s="103">
        <f t="shared" si="4"/>
        <v>0.31249999999999989</v>
      </c>
      <c r="L49" s="103"/>
      <c r="M49" s="145"/>
      <c r="N49" s="100"/>
      <c r="O49" s="157" t="s">
        <v>123</v>
      </c>
      <c r="P49" s="66"/>
      <c r="Q49" s="66"/>
      <c r="R49" s="66"/>
      <c r="S49" s="67"/>
      <c r="T49" s="105">
        <f t="shared" si="9"/>
        <v>0.4375</v>
      </c>
      <c r="U49" s="102">
        <f t="shared" ref="T46:U49" si="10">F49</f>
        <v>0.79166666666666663</v>
      </c>
      <c r="V49" s="103">
        <f t="shared" si="7"/>
        <v>0.31249999999999989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2"/>
        <v/>
      </c>
      <c r="D50" s="100" t="str">
        <f t="shared" si="1"/>
        <v/>
      </c>
      <c r="E50" s="101"/>
      <c r="F50" s="102"/>
      <c r="G50" s="103"/>
      <c r="H50" s="103"/>
      <c r="I50" s="104"/>
      <c r="J50" s="105"/>
      <c r="K50" s="103"/>
      <c r="L50" s="103"/>
      <c r="M50" s="145"/>
      <c r="N50" s="100"/>
      <c r="O50" s="157"/>
      <c r="P50" s="89"/>
      <c r="Q50" s="89"/>
      <c r="R50" s="89"/>
      <c r="S50" s="110"/>
      <c r="T50" s="105"/>
      <c r="U50" s="102"/>
      <c r="V50" s="103"/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11">SUM(J20:J50)</f>
        <v>0.87500000000000155</v>
      </c>
      <c r="K51" s="111">
        <f t="shared" si="11"/>
        <v>6.5624999999999991</v>
      </c>
      <c r="L51" s="111">
        <f t="shared" si="11"/>
        <v>0</v>
      </c>
      <c r="M51" s="111">
        <f t="shared" si="11"/>
        <v>0</v>
      </c>
      <c r="N51" s="111">
        <f t="shared" si="11"/>
        <v>0</v>
      </c>
      <c r="O51" s="157"/>
      <c r="T51" s="61"/>
      <c r="U51" s="61"/>
      <c r="V51" s="111">
        <f t="shared" ref="V51:W51" si="12">SUM(V20:V50)</f>
        <v>6.5624999999999991</v>
      </c>
      <c r="W51" s="111">
        <f t="shared" si="12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Y18:Z18"/>
    <mergeCell ref="AA18:AB18"/>
    <mergeCell ref="AC18:AD18"/>
    <mergeCell ref="AE18:AF18"/>
    <mergeCell ref="Y16:AG16"/>
  </mergeCells>
  <phoneticPr fontId="22"/>
  <conditionalFormatting sqref="C20:W20 C21:I23 J21:W42 C24:F25 J43:N50 P43:W50 E20:E49 G20:G49 J20:K49 O20:O51 T20:V50">
    <cfRule type="expression" dxfId="16" priority="3">
      <formula>$A20=1</formula>
    </cfRule>
  </conditionalFormatting>
  <conditionalFormatting sqref="E20:K50">
    <cfRule type="expression" dxfId="15" priority="1">
      <formula>$A20=1</formula>
    </cfRule>
  </conditionalFormatting>
  <conditionalFormatting sqref="G23:K50 C26:I50 F20:F49 H20:J49">
    <cfRule type="expression" dxfId="14" priority="2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 t="s">
        <v>111</v>
      </c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 t="s">
        <v>113</v>
      </c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>
        <v>0.375</v>
      </c>
      <c r="P9" s="77" t="s">
        <v>36</v>
      </c>
      <c r="Q9" s="78">
        <v>0.73611111111111116</v>
      </c>
      <c r="R9" s="204">
        <v>4.1666666666666664E-2</v>
      </c>
      <c r="S9" s="205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3">
        <v>0.41666666666666669</v>
      </c>
      <c r="P10" s="81" t="s">
        <v>36</v>
      </c>
      <c r="Q10" s="82">
        <v>0.77777777777777779</v>
      </c>
      <c r="R10" s="206">
        <v>4.1666666666666664E-2</v>
      </c>
      <c r="S10" s="208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 t="s">
        <v>112</v>
      </c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x14ac:dyDescent="0.2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30" t="s">
        <v>96</v>
      </c>
      <c r="Z18" s="231"/>
      <c r="AA18" s="230" t="s">
        <v>97</v>
      </c>
      <c r="AB18" s="231"/>
      <c r="AC18" s="230" t="s">
        <v>98</v>
      </c>
      <c r="AD18" s="231"/>
      <c r="AE18" s="230" t="s">
        <v>99</v>
      </c>
      <c r="AF18" s="231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G19:I19"/>
    <mergeCell ref="O19:S19"/>
    <mergeCell ref="AA18:AB18"/>
    <mergeCell ref="Y18:Z18"/>
    <mergeCell ref="R10:S10"/>
    <mergeCell ref="Y16:AG16"/>
    <mergeCell ref="AC18:AD18"/>
    <mergeCell ref="AE18:AF18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7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0.35416666666666669</v>
      </c>
      <c r="P8" s="23" t="s">
        <v>36</v>
      </c>
      <c r="Q8" s="24">
        <v>0.72916666666666663</v>
      </c>
      <c r="R8" s="253">
        <v>4.1666666666666664E-2</v>
      </c>
      <c r="S8" s="254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26"/>
      <c r="P9" s="27" t="s">
        <v>36</v>
      </c>
      <c r="Q9" s="28"/>
      <c r="R9" s="255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5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5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5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5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5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5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2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5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5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5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5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5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5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5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5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5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5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5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5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2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5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0.375</v>
      </c>
      <c r="P8" s="23" t="s">
        <v>36</v>
      </c>
      <c r="Q8" s="47">
        <v>0.72916666666666663</v>
      </c>
      <c r="R8" s="253">
        <v>4.1666666666666664E-2</v>
      </c>
      <c r="S8" s="254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5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0.39583333333333331</v>
      </c>
      <c r="P8" s="23" t="s">
        <v>36</v>
      </c>
      <c r="Q8" s="47">
        <v>0.75</v>
      </c>
      <c r="R8" s="253">
        <v>4.1666666666666664E-2</v>
      </c>
      <c r="S8" s="254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65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6" t="s">
        <v>59</v>
      </c>
      <c r="B1" s="267"/>
      <c r="C1" s="268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  <row r="1001" s="60" customFormat="1" ht="15.75" customHeight="1" x14ac:dyDescent="0.25"/>
    <row r="1002" s="60" customFormat="1" ht="15.75" customHeight="1" x14ac:dyDescent="0.25"/>
    <row r="1003" s="60" customFormat="1" ht="15.75" customHeight="1" x14ac:dyDescent="0.25"/>
    <row r="1004" s="60" customFormat="1" ht="15.75" customHeight="1" x14ac:dyDescent="0.25"/>
    <row r="1005" s="60" customFormat="1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2024-09-29T04:22:21Z</dcterms:modified>
</cp:coreProperties>
</file>