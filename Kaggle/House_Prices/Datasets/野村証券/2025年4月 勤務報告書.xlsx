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9D3715CB-5E9B-4BDC-94A6-5B1FE728AE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月" sheetId="58" r:id="rId1"/>
    <sheet name="社員10" sheetId="13" state="hidden" r:id="rId2"/>
    <sheet name="社員32" sheetId="35" state="hidden" r:id="rId3"/>
    <sheet name="社員33" sheetId="36" state="hidden" r:id="rId4"/>
    <sheet name="社員39" sheetId="42" state="hidden" r:id="rId5"/>
    <sheet name="社員40" sheetId="43" state="hidden" r:id="rId6"/>
    <sheet name="社員41" sheetId="44" state="hidden" r:id="rId7"/>
    <sheet name="社員42" sheetId="45" state="hidden" r:id="rId8"/>
    <sheet name="社員44" sheetId="47" state="hidden" r:id="rId9"/>
    <sheet name="社員45" sheetId="48" state="hidden" r:id="rId10"/>
    <sheet name="社員46" sheetId="49" state="hidden" r:id="rId11"/>
    <sheet name="社員47" sheetId="50" state="hidden" r:id="rId12"/>
    <sheet name="社員48" sheetId="51" state="hidden" r:id="rId13"/>
    <sheet name="社員49" sheetId="52" state="hidden" r:id="rId14"/>
    <sheet name="祝日参照用" sheetId="56" state="hidden" r:id="rId15"/>
  </sheets>
  <definedNames>
    <definedName name="_xlnm.Print_Area" localSheetId="0">'2月'!$A$1:$AI$52</definedName>
  </definedNames>
  <calcPr calcId="191029"/>
</workbook>
</file>

<file path=xl/calcChain.xml><?xml version="1.0" encoding="utf-8"?>
<calcChain xmlns="http://schemas.openxmlformats.org/spreadsheetml/2006/main">
  <c r="V49" i="58" l="1"/>
  <c r="V47" i="58"/>
  <c r="V44" i="58"/>
  <c r="V43" i="58"/>
  <c r="V42" i="58"/>
  <c r="V41" i="58"/>
  <c r="V40" i="58"/>
  <c r="V37" i="58"/>
  <c r="V36" i="58"/>
  <c r="V35" i="58"/>
  <c r="V34" i="58"/>
  <c r="V33" i="58"/>
  <c r="V30" i="58"/>
  <c r="V29" i="58"/>
  <c r="V28" i="58"/>
  <c r="V27" i="58"/>
  <c r="V26" i="58"/>
  <c r="V23" i="58"/>
  <c r="V22" i="58"/>
  <c r="V21" i="58"/>
  <c r="V20" i="58"/>
  <c r="U49" i="58"/>
  <c r="U47" i="58"/>
  <c r="U44" i="58"/>
  <c r="U43" i="58"/>
  <c r="U42" i="58"/>
  <c r="U41" i="58"/>
  <c r="U40" i="58"/>
  <c r="U37" i="58"/>
  <c r="U36" i="58"/>
  <c r="U35" i="58"/>
  <c r="U34" i="58"/>
  <c r="U33" i="58"/>
  <c r="U30" i="58"/>
  <c r="U29" i="58"/>
  <c r="U28" i="58"/>
  <c r="U27" i="58"/>
  <c r="U26" i="58"/>
  <c r="U23" i="58"/>
  <c r="U22" i="58"/>
  <c r="U21" i="58"/>
  <c r="U20" i="58"/>
  <c r="T49" i="58"/>
  <c r="T47" i="58"/>
  <c r="T44" i="58"/>
  <c r="T43" i="58"/>
  <c r="T42" i="58"/>
  <c r="T41" i="58"/>
  <c r="T40" i="58"/>
  <c r="T37" i="58"/>
  <c r="T36" i="58"/>
  <c r="T35" i="58"/>
  <c r="T34" i="58"/>
  <c r="T33" i="58"/>
  <c r="T30" i="58"/>
  <c r="T29" i="58"/>
  <c r="T28" i="58"/>
  <c r="T27" i="58"/>
  <c r="T26" i="58"/>
  <c r="T23" i="58"/>
  <c r="T22" i="58"/>
  <c r="T21" i="58"/>
  <c r="T20" i="58"/>
  <c r="K49" i="58"/>
  <c r="K47" i="58"/>
  <c r="K44" i="58"/>
  <c r="K43" i="58"/>
  <c r="K42" i="58"/>
  <c r="K41" i="58"/>
  <c r="K40" i="58"/>
  <c r="K37" i="58"/>
  <c r="K36" i="58"/>
  <c r="K35" i="58"/>
  <c r="K34" i="58"/>
  <c r="K33" i="58"/>
  <c r="K30" i="58"/>
  <c r="K29" i="58"/>
  <c r="K28" i="58"/>
  <c r="K27" i="58"/>
  <c r="K26" i="58"/>
  <c r="K23" i="58"/>
  <c r="K22" i="58"/>
  <c r="K21" i="58"/>
  <c r="K20" i="58"/>
  <c r="J49" i="58"/>
  <c r="J47" i="58"/>
  <c r="J44" i="58"/>
  <c r="J43" i="58"/>
  <c r="J42" i="58"/>
  <c r="J41" i="58"/>
  <c r="J40" i="58"/>
  <c r="J37" i="58"/>
  <c r="J36" i="58"/>
  <c r="J35" i="58"/>
  <c r="J34" i="58"/>
  <c r="J33" i="58"/>
  <c r="J30" i="58"/>
  <c r="J29" i="58"/>
  <c r="J28" i="58"/>
  <c r="J27" i="58"/>
  <c r="J26" i="58"/>
  <c r="J23" i="58"/>
  <c r="J22" i="58"/>
  <c r="J21" i="58"/>
  <c r="J20" i="58"/>
  <c r="C20" i="58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W29" i="58" l="1"/>
  <c r="W31" i="58"/>
  <c r="W38" i="58"/>
  <c r="W30" i="58"/>
  <c r="W33" i="58"/>
  <c r="W36" i="58"/>
  <c r="W46" i="58"/>
  <c r="W25" i="58"/>
  <c r="K45" i="49"/>
  <c r="J45" i="42"/>
  <c r="J45" i="43"/>
  <c r="W47" i="58"/>
  <c r="W28" i="58"/>
  <c r="K45" i="51"/>
  <c r="V45" i="48"/>
  <c r="V45" i="52"/>
  <c r="V45" i="49"/>
  <c r="J45" i="48"/>
  <c r="K45" i="48"/>
  <c r="J45" i="35"/>
  <c r="V45" i="42"/>
  <c r="J45" i="13"/>
  <c r="V45" i="13"/>
  <c r="V45" i="50"/>
  <c r="J45" i="51"/>
  <c r="W32" i="58"/>
  <c r="W26" i="58"/>
  <c r="W34" i="58"/>
  <c r="W42" i="58"/>
  <c r="W43" i="58"/>
  <c r="W45" i="58"/>
  <c r="W37" i="58"/>
  <c r="W27" i="58"/>
  <c r="W24" i="58"/>
  <c r="W22" i="58"/>
  <c r="W23" i="58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K51" i="58" l="1"/>
  <c r="W21" i="58"/>
  <c r="W51" i="58" s="1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17" i="13" l="1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17" i="13" l="1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D18" i="13" l="1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D19" i="13" l="1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0" i="13" l="1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2" i="13" l="1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D22" i="13" l="1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C24" i="13" l="1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4" i="13" l="1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C26" i="13" l="1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D26" i="13" l="1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C28" i="13" l="1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29" i="13" l="1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0" i="13" l="1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0" i="13" l="1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 s="1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C32" i="13" l="1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3" i="13" l="1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3" i="13" l="1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5" i="13" l="1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C36" i="13" l="1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36" i="13" l="1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C38" i="13" l="1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C39" i="13" l="1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C40" i="13" l="1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C41" i="13" l="1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2" i="13" l="1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2" i="13" l="1"/>
  <c r="A42" i="13" s="1"/>
  <c r="C43" i="13"/>
  <c r="D48" i="58"/>
  <c r="A48" i="58" s="1"/>
  <c r="C49" i="58"/>
  <c r="D49" i="58" s="1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C44" i="13" l="1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4" i="49" l="1"/>
  <c r="A4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<sst xmlns="http://schemas.openxmlformats.org/spreadsheetml/2006/main" count="834" uniqueCount="121">
  <si>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</si>
  <si>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</si>
  <si>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</si>
  <si>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</si>
  <si>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</si>
  <si>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</si>
  <si>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</si>
  <si>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</si>
  <si>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</si>
  <si>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</si>
  <si>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</si>
  <si>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</si>
  <si>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</si>
  <si>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</si>
  <si>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</si>
  <si>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</si>
  <si>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</si>
  <si>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</si>
  <si>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</si>
  <si>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</si>
  <si>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</si>
  <si>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</si>
  <si>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</si>
  <si>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</si>
  <si>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</si>
  <si>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</si>
  <si>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</si>
  <si>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</si>
  <si>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</si>
  <si>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</si>
  <si>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</si>
  <si>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</si>
  <si>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</si>
  <si>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</si>
  <si>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</si>
  <si>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</si>
  <si>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</si>
  <si>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</si>
  <si>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</si>
  <si>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</si>
  <si>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</si>
  <si>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</si>
  <si>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</si>
  <si>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</si>
  <si>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</si>
  <si>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</si>
  <si>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</si>
  <si>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</si>
  <si>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</si>
  <si>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</si>
  <si>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</si>
  <si>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</si>
  <si>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</si>
  <si>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</si>
  <si>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</si>
  <si>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</si>
  <si>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</si>
  <si>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</si>
  <si>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</si>
  <si>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</si>
  <si>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</si>
  <si>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</si>
  <si>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</si>
  <si>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</si>
  <si>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</si>
  <si>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</si>
  <si>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</si>
  <si>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</si>
  <si>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</si>
  <si>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</si>
  <si>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</si>
  <si>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</si>
  <si>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</si>
  <si>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</si>
  <si>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</si>
  <si>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</si>
  <si>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</si>
  <si>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</si>
  <si>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</si>
  <si>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</si>
  <si>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</si>
  <si>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</si>
  <si>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</si>
  <si>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</si>
  <si>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</si>
  <si>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</si>
  <si>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</si>
  <si>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</si>
  <si>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</si>
  <si>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</si>
  <si>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</si>
  <si>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</si>
  <si>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</si>
  <si>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</si>
  <si>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</si>
  <si>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</si>
  <si>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</si>
  <si>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</si>
  <si>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</si>
  <si>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</si>
  <si>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</si>
  <si>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</si>
  <si>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</si>
  <si>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</si>
  <si>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</si>
  <si>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</si>
  <si>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</si>
  <si>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</si>
  <si>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</si>
  <si>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</si>
  <si>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</si>
  <si>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</si>
  <si>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</si>
  <si>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</si>
  <si>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</si>
  <si>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</si>
  <si>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</si>
  <si>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</si>
  <si>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</si>
  <si>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</si>
  <si>
    <t>祝日（昭和の日）</t>
    <rPh sb="0" eb="2">
      <t>シュクジツ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</si>
</sst>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5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82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22" xfId="0" applyFont="1" applyBorder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77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20" fontId="30" fillId="0" borderId="0" xfId="0" applyNumberFormat="1" applyFont="1" applyAlignment="1">
      <alignment vertical="center"/>
    </xf>
    <xf numFmtId="179" fontId="23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0" fontId="23" fillId="0" borderId="53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3" fillId="9" borderId="63" xfId="0" applyNumberFormat="1" applyFont="1" applyFill="1" applyBorder="1" applyAlignment="1">
      <alignment horizontal="center" vertical="center"/>
    </xf>
    <xf numFmtId="176" fontId="23" fillId="9" borderId="64" xfId="0" applyNumberFormat="1" applyFont="1" applyFill="1" applyBorder="1" applyAlignment="1">
      <alignment horizontal="center" vertical="center"/>
    </xf>
    <xf numFmtId="179" fontId="23" fillId="9" borderId="65" xfId="0" applyNumberFormat="1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/>
    </xf>
    <xf numFmtId="0" fontId="23" fillId="11" borderId="67" xfId="0" applyFont="1" applyFill="1" applyBorder="1" applyAlignment="1">
      <alignment vertical="center"/>
    </xf>
    <xf numFmtId="0" fontId="26" fillId="11" borderId="68" xfId="0" applyFont="1" applyFill="1" applyBorder="1" applyAlignment="1">
      <alignment vertical="center"/>
    </xf>
    <xf numFmtId="0" fontId="21" fillId="11" borderId="69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3" fillId="11" borderId="22" xfId="0" applyFont="1" applyFill="1" applyBorder="1" applyAlignment="1">
      <alignment vertical="center"/>
    </xf>
    <xf numFmtId="0" fontId="21" fillId="11" borderId="70" xfId="0" applyFont="1" applyFill="1" applyBorder="1" applyAlignment="1">
      <alignment vertical="center"/>
    </xf>
    <xf numFmtId="0" fontId="23" fillId="11" borderId="22" xfId="0" applyFont="1" applyFill="1" applyBorder="1" applyAlignment="1">
      <alignment horizontal="center" vertical="center"/>
    </xf>
    <xf numFmtId="0" fontId="24" fillId="11" borderId="70" xfId="0" applyFont="1" applyFill="1" applyBorder="1" applyAlignment="1">
      <alignment horizontal="center" vertical="center"/>
    </xf>
    <xf numFmtId="176" fontId="24" fillId="11" borderId="70" xfId="0" applyNumberFormat="1" applyFont="1" applyFill="1" applyBorder="1" applyAlignment="1">
      <alignment horizontal="center" vertical="center"/>
    </xf>
    <xf numFmtId="0" fontId="23" fillId="11" borderId="72" xfId="0" applyFont="1" applyFill="1" applyBorder="1" applyAlignment="1">
      <alignment vertical="center"/>
    </xf>
    <xf numFmtId="0" fontId="21" fillId="11" borderId="72" xfId="0" applyFont="1" applyFill="1" applyBorder="1" applyAlignment="1">
      <alignment vertical="center"/>
    </xf>
    <xf numFmtId="0" fontId="21" fillId="11" borderId="73" xfId="0" applyFont="1" applyFill="1" applyBorder="1" applyAlignment="1">
      <alignment vertical="center"/>
    </xf>
    <xf numFmtId="0" fontId="21" fillId="0" borderId="22" xfId="0" applyFont="1" applyBorder="1"/>
    <xf numFmtId="0" fontId="24" fillId="11" borderId="66" xfId="0" applyFont="1" applyFill="1" applyBorder="1" applyAlignment="1">
      <alignment vertical="center"/>
    </xf>
    <xf numFmtId="0" fontId="25" fillId="11" borderId="67" xfId="0" applyFont="1" applyFill="1" applyBorder="1" applyAlignment="1">
      <alignment vertical="center"/>
    </xf>
    <xf numFmtId="0" fontId="24" fillId="11" borderId="69" xfId="0" applyFont="1" applyFill="1" applyBorder="1" applyAlignment="1">
      <alignment vertical="center"/>
    </xf>
    <xf numFmtId="176" fontId="24" fillId="11" borderId="69" xfId="0" applyNumberFormat="1" applyFont="1" applyFill="1" applyBorder="1" applyAlignment="1">
      <alignment horizontal="center" vertical="center"/>
    </xf>
    <xf numFmtId="0" fontId="21" fillId="11" borderId="69" xfId="0" applyFont="1" applyFill="1" applyBorder="1"/>
    <xf numFmtId="0" fontId="21" fillId="11" borderId="69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3" fillId="0" borderId="60" xfId="0" applyNumberFormat="1" applyFont="1" applyBorder="1" applyAlignment="1">
      <alignment horizontal="center" vertical="center"/>
    </xf>
    <xf numFmtId="177" fontId="23" fillId="0" borderId="61" xfId="0" applyNumberFormat="1" applyFont="1" applyBorder="1" applyAlignment="1">
      <alignment horizontal="center" vertical="center"/>
    </xf>
    <xf numFmtId="177" fontId="23" fillId="0" borderId="62" xfId="0" applyNumberFormat="1" applyFont="1" applyBorder="1" applyAlignment="1">
      <alignment horizontal="center" vertical="center"/>
    </xf>
    <xf numFmtId="177" fontId="23" fillId="0" borderId="55" xfId="0" applyNumberFormat="1" applyFont="1" applyBorder="1" applyAlignment="1">
      <alignment horizontal="center" vertical="center"/>
    </xf>
    <xf numFmtId="177" fontId="23" fillId="0" borderId="54" xfId="0" applyNumberFormat="1" applyFont="1" applyBorder="1" applyAlignment="1">
      <alignment horizontal="center" vertical="center"/>
    </xf>
    <xf numFmtId="177" fontId="23" fillId="0" borderId="56" xfId="0" applyNumberFormat="1" applyFont="1" applyBorder="1" applyAlignment="1">
      <alignment horizontal="center" vertical="center"/>
    </xf>
    <xf numFmtId="177" fontId="23" fillId="0" borderId="57" xfId="0" applyNumberFormat="1" applyFont="1" applyBorder="1" applyAlignment="1">
      <alignment horizontal="center" vertical="center"/>
    </xf>
    <xf numFmtId="177" fontId="23" fillId="0" borderId="58" xfId="0" applyNumberFormat="1" applyFont="1" applyBorder="1" applyAlignment="1">
      <alignment horizontal="center" vertical="center"/>
    </xf>
    <xf numFmtId="177" fontId="23" fillId="0" borderId="59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3" fillId="9" borderId="74" xfId="0" applyFont="1" applyFill="1" applyBorder="1" applyAlignment="1">
      <alignment horizontal="center" vertical="center"/>
    </xf>
    <xf numFmtId="0" fontId="23" fillId="9" borderId="75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77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76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78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vertical="center"/>
    </xf>
    <xf numFmtId="0" fontId="23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vertical="center"/>
    </xf>
    <xf numFmtId="0" fontId="23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79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0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1" xfId="0" applyFont="1" applyFill="1" applyBorder="1" applyAlignment="1">
      <alignment vertical="center"/>
    </xf>
    <xf numFmtId="20" fontId="21" fillId="0" borderId="36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177" fontId="21" fillId="12" borderId="51" xfId="0" applyNumberFormat="1" applyFont="1" applyFill="1" applyBorder="1" applyAlignment="1">
      <alignment horizontal="center" vertical="center"/>
    </xf>
    <xf numFmtId="20" fontId="21" fillId="12" borderId="10" xfId="0" applyNumberFormat="1" applyFont="1" applyFill="1" applyBorder="1" applyAlignment="1">
      <alignment horizontal="center" vertical="center"/>
    </xf>
    <xf numFmtId="177" fontId="21" fillId="12" borderId="10" xfId="0" applyNumberFormat="1" applyFont="1" applyFill="1" applyBorder="1" applyAlignment="1">
      <alignment horizontal="center" vertical="center"/>
    </xf>
    <xf numFmtId="177" fontId="21" fillId="12" borderId="52" xfId="0" applyNumberFormat="1" applyFont="1" applyFill="1" applyBorder="1" applyAlignment="1">
      <alignment horizontal="center" vertical="center"/>
    </xf>
    <xf numFmtId="177" fontId="21" fillId="12" borderId="7" xfId="0" applyNumberFormat="1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1" fillId="12" borderId="31" xfId="0" applyFont="1" applyFill="1" applyBorder="1" applyAlignment="1">
      <alignment vertical="center"/>
    </xf>
    <xf numFmtId="0" fontId="23" fillId="12" borderId="6" xfId="0" applyFont="1" applyFill="1" applyBorder="1" applyAlignment="1">
      <alignment vertical="center"/>
    </xf>
    <xf numFmtId="0" fontId="23" fillId="12" borderId="30" xfId="0" applyFont="1" applyFill="1" applyBorder="1" applyAlignment="1">
      <alignment vertical="center"/>
    </xf>
    <xf numFmtId="178" fontId="21" fillId="12" borderId="10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Q4" sqref="Q4:S4"/>
      <selection pane="bottomLeft" activeCell="H42" sqref="H41:H42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5" t="s">
        <v>18</v>
      </c>
      <c r="D2" s="166"/>
      <c r="E2" s="166"/>
      <c r="F2" s="166"/>
      <c r="G2" s="166"/>
      <c r="H2" s="166"/>
      <c r="I2" s="166"/>
      <c r="J2" s="166"/>
      <c r="K2" s="166"/>
      <c r="M2" s="167" t="s">
        <v>19</v>
      </c>
      <c r="N2" s="168"/>
      <c r="O2" s="167">
        <v>2025</v>
      </c>
      <c r="P2" s="168"/>
      <c r="Q2" s="61" t="s">
        <v>20</v>
      </c>
      <c r="R2" s="61">
        <v>4</v>
      </c>
      <c r="S2" s="60" t="s">
        <v>21</v>
      </c>
      <c r="T2" s="61"/>
      <c r="U2" s="61"/>
      <c r="V2" s="61"/>
      <c r="W2" s="134"/>
      <c r="X2" s="135" t="s">
        <v>89</v>
      </c>
      <c r="Y2" s="120"/>
      <c r="Z2" s="120"/>
      <c r="AA2" s="120"/>
      <c r="AB2" s="120"/>
      <c r="AC2" s="120"/>
      <c r="AD2" s="120"/>
      <c r="AE2" s="121"/>
      <c r="AF2" s="121"/>
      <c r="AG2" s="122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69" t="s">
        <v>23</v>
      </c>
      <c r="R3" s="168"/>
      <c r="S3" s="64" t="str">
        <f>COUNTA(E20:E50)&amp;"日"</f>
        <v>21日</v>
      </c>
      <c r="T3" s="61"/>
      <c r="U3" s="61"/>
      <c r="V3" s="61"/>
      <c r="W3" s="136"/>
      <c r="X3" s="124" t="s">
        <v>108</v>
      </c>
      <c r="Y3" s="124"/>
      <c r="Z3" s="124"/>
      <c r="AA3" s="124"/>
      <c r="AB3" s="124"/>
      <c r="AC3" s="124"/>
      <c r="AD3" s="124"/>
      <c r="AE3" s="125"/>
      <c r="AF3" s="125"/>
      <c r="AG3" s="126"/>
    </row>
    <row r="4" spans="1:35" ht="17.100000000000001" customHeight="1" thickTop="1" x14ac:dyDescent="0.25">
      <c r="B4" s="65"/>
      <c r="C4" s="170" t="s">
        <v>24</v>
      </c>
      <c r="D4" s="171"/>
      <c r="E4" s="172"/>
      <c r="F4" s="173" t="s">
        <v>114</v>
      </c>
      <c r="G4" s="174"/>
      <c r="H4" s="174"/>
      <c r="I4" s="174"/>
      <c r="J4" s="174"/>
      <c r="K4" s="174"/>
      <c r="L4" s="174"/>
      <c r="M4" s="174"/>
      <c r="N4" s="175" t="s">
        <v>25</v>
      </c>
      <c r="O4" s="171"/>
      <c r="P4" s="171"/>
      <c r="Q4" s="176" t="s">
        <v>111</v>
      </c>
      <c r="R4" s="174"/>
      <c r="S4" s="177"/>
      <c r="T4" s="61"/>
      <c r="U4" s="61"/>
      <c r="V4" s="61"/>
      <c r="W4" s="136"/>
      <c r="X4" s="124"/>
      <c r="Y4" s="124" t="s">
        <v>109</v>
      </c>
      <c r="Z4" s="124"/>
      <c r="AA4" s="124"/>
      <c r="AB4" s="124"/>
      <c r="AC4" s="124"/>
      <c r="AD4" s="124"/>
      <c r="AE4" s="125"/>
      <c r="AF4" s="125"/>
      <c r="AG4" s="126"/>
    </row>
    <row r="5" spans="1:35" ht="17.100000000000001" customHeight="1" x14ac:dyDescent="0.25">
      <c r="B5" s="65"/>
      <c r="C5" s="178" t="s">
        <v>26</v>
      </c>
      <c r="D5" s="158"/>
      <c r="E5" s="159"/>
      <c r="F5" s="162" t="s">
        <v>118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79"/>
      <c r="T5" s="61"/>
      <c r="U5" s="68"/>
      <c r="V5" s="68"/>
      <c r="W5" s="137"/>
      <c r="X5" s="124"/>
      <c r="Y5" s="124"/>
      <c r="Z5" s="124"/>
      <c r="AA5" s="124"/>
      <c r="AB5" s="124"/>
      <c r="AC5" s="124"/>
      <c r="AD5" s="124"/>
      <c r="AE5" s="127"/>
      <c r="AF5" s="127"/>
      <c r="AG5" s="128"/>
    </row>
    <row r="6" spans="1:35" ht="17.100000000000001" customHeight="1" x14ac:dyDescent="0.25">
      <c r="B6" s="65"/>
      <c r="C6" s="180" t="s">
        <v>27</v>
      </c>
      <c r="D6" s="181"/>
      <c r="E6" s="182"/>
      <c r="F6" s="162" t="s">
        <v>116</v>
      </c>
      <c r="G6" s="163"/>
      <c r="H6" s="163"/>
      <c r="I6" s="163"/>
      <c r="J6" s="163"/>
      <c r="K6" s="163"/>
      <c r="L6" s="163"/>
      <c r="M6" s="164"/>
      <c r="N6" s="110" t="s">
        <v>28</v>
      </c>
      <c r="O6" s="183" t="s">
        <v>117</v>
      </c>
      <c r="P6" s="163"/>
      <c r="Q6" s="163"/>
      <c r="R6" s="163"/>
      <c r="S6" s="179"/>
      <c r="T6" s="61"/>
      <c r="U6" s="68"/>
      <c r="V6" s="70"/>
      <c r="W6" s="137"/>
      <c r="X6" s="124" t="s">
        <v>90</v>
      </c>
      <c r="Y6" s="124"/>
      <c r="Z6" s="124"/>
      <c r="AA6" s="124"/>
      <c r="AB6" s="124"/>
      <c r="AC6" s="124"/>
      <c r="AD6" s="124"/>
      <c r="AE6" s="124"/>
      <c r="AF6" s="124"/>
      <c r="AG6" s="129"/>
    </row>
    <row r="7" spans="1:35" ht="17.100000000000001" customHeight="1" x14ac:dyDescent="0.25">
      <c r="B7" s="72"/>
      <c r="C7" s="157" t="s">
        <v>106</v>
      </c>
      <c r="D7" s="158"/>
      <c r="E7" s="159"/>
      <c r="F7" s="160" t="s">
        <v>112</v>
      </c>
      <c r="G7" s="161"/>
      <c r="H7" s="161"/>
      <c r="I7" s="161"/>
      <c r="J7" s="161"/>
      <c r="K7" s="161"/>
      <c r="L7" s="161"/>
      <c r="M7" s="161"/>
      <c r="N7" s="110" t="s">
        <v>31</v>
      </c>
      <c r="O7" s="162"/>
      <c r="P7" s="163"/>
      <c r="Q7" s="164"/>
      <c r="R7" s="110" t="s">
        <v>32</v>
      </c>
      <c r="S7" s="73"/>
      <c r="T7" s="61"/>
      <c r="U7" s="68"/>
      <c r="V7" s="133"/>
      <c r="W7" s="138"/>
      <c r="X7" s="124"/>
      <c r="Y7" s="124" t="s">
        <v>104</v>
      </c>
      <c r="Z7" s="124"/>
      <c r="AA7" s="124"/>
      <c r="AB7" s="124"/>
      <c r="AC7" s="124"/>
      <c r="AD7" s="124"/>
      <c r="AE7" s="124"/>
      <c r="AF7" s="124"/>
      <c r="AG7" s="126"/>
    </row>
    <row r="8" spans="1:35" ht="17.100000000000001" customHeight="1" x14ac:dyDescent="0.25">
      <c r="B8" s="74"/>
      <c r="C8" s="190" t="s">
        <v>33</v>
      </c>
      <c r="D8" s="191"/>
      <c r="E8" s="192"/>
      <c r="F8" s="197" t="s">
        <v>115</v>
      </c>
      <c r="G8" s="198"/>
      <c r="H8" s="198"/>
      <c r="I8" s="198"/>
      <c r="J8" s="198"/>
      <c r="K8" s="198"/>
      <c r="L8" s="199"/>
      <c r="M8" s="205" t="s">
        <v>34</v>
      </c>
      <c r="N8" s="191"/>
      <c r="O8" s="183" t="s">
        <v>0</v>
      </c>
      <c r="P8" s="163"/>
      <c r="Q8" s="163"/>
      <c r="R8" s="183" t="s">
        <v>1</v>
      </c>
      <c r="S8" s="179"/>
      <c r="T8" s="69" t="s">
        <v>35</v>
      </c>
      <c r="U8" s="75"/>
      <c r="V8" s="68"/>
      <c r="W8" s="139"/>
      <c r="X8" s="124"/>
      <c r="Y8" s="124" t="s">
        <v>105</v>
      </c>
      <c r="Z8" s="124"/>
      <c r="AA8" s="124"/>
      <c r="AB8" s="124"/>
      <c r="AC8" s="124"/>
      <c r="AD8" s="124"/>
      <c r="AE8" s="124"/>
      <c r="AF8" s="124"/>
      <c r="AG8" s="126"/>
    </row>
    <row r="9" spans="1:35" ht="17.100000000000001" customHeight="1" x14ac:dyDescent="0.25">
      <c r="B9" s="74"/>
      <c r="C9" s="193"/>
      <c r="D9" s="194"/>
      <c r="E9" s="195"/>
      <c r="F9" s="200"/>
      <c r="G9" s="201"/>
      <c r="H9" s="201"/>
      <c r="I9" s="201"/>
      <c r="J9" s="201"/>
      <c r="K9" s="201"/>
      <c r="L9" s="202"/>
      <c r="M9" s="206"/>
      <c r="N9" s="194"/>
      <c r="O9" s="76">
        <v>0.4375</v>
      </c>
      <c r="P9" s="77" t="s">
        <v>36</v>
      </c>
      <c r="Q9" s="78">
        <v>0.79166666666666663</v>
      </c>
      <c r="R9" s="209" t="s">
        <v>119</v>
      </c>
      <c r="S9" s="210"/>
      <c r="T9" s="79" t="e">
        <f t="shared" ref="T9:T13" si="0">Q9-O9-R9</f>
        <v>#VALUE!</v>
      </c>
      <c r="U9" s="75"/>
      <c r="V9" s="75"/>
      <c r="W9" s="123"/>
      <c r="X9" s="124"/>
      <c r="Y9" s="124" t="s">
        <v>91</v>
      </c>
      <c r="Z9" s="124"/>
      <c r="AA9" s="124"/>
      <c r="AB9" s="124"/>
      <c r="AC9" s="124"/>
      <c r="AD9" s="124"/>
      <c r="AE9" s="124"/>
      <c r="AF9" s="124"/>
      <c r="AG9" s="126"/>
    </row>
    <row r="10" spans="1:35" ht="17.100000000000001" customHeight="1" x14ac:dyDescent="0.25">
      <c r="B10" s="74"/>
      <c r="C10" s="193"/>
      <c r="D10" s="194"/>
      <c r="E10" s="195"/>
      <c r="F10" s="200"/>
      <c r="G10" s="201"/>
      <c r="H10" s="201"/>
      <c r="I10" s="201"/>
      <c r="J10" s="201"/>
      <c r="K10" s="201"/>
      <c r="L10" s="202"/>
      <c r="M10" s="206"/>
      <c r="N10" s="194"/>
      <c r="O10" s="80"/>
      <c r="P10" s="81" t="s">
        <v>36</v>
      </c>
      <c r="Q10" s="82"/>
      <c r="R10" s="211"/>
      <c r="S10" s="217"/>
      <c r="T10" s="79">
        <f t="shared" si="0"/>
        <v>0</v>
      </c>
      <c r="U10" s="75"/>
      <c r="V10" s="75"/>
      <c r="W10" s="123"/>
      <c r="X10" s="124"/>
      <c r="Y10" s="125"/>
      <c r="Z10" s="125"/>
      <c r="AA10" s="124"/>
      <c r="AB10" s="124"/>
      <c r="AC10" s="124"/>
      <c r="AD10" s="125"/>
      <c r="AE10" s="125"/>
      <c r="AF10" s="125"/>
      <c r="AG10" s="126"/>
    </row>
    <row r="11" spans="1:35" ht="17.100000000000001" customHeight="1" x14ac:dyDescent="0.25">
      <c r="B11" s="74"/>
      <c r="C11" s="193"/>
      <c r="D11" s="194"/>
      <c r="E11" s="195"/>
      <c r="F11" s="200"/>
      <c r="G11" s="201"/>
      <c r="H11" s="201"/>
      <c r="I11" s="201"/>
      <c r="J11" s="201"/>
      <c r="K11" s="201"/>
      <c r="L11" s="202"/>
      <c r="M11" s="206"/>
      <c r="N11" s="194"/>
      <c r="O11" s="80"/>
      <c r="P11" s="81" t="s">
        <v>36</v>
      </c>
      <c r="Q11" s="82"/>
      <c r="R11" s="211"/>
      <c r="S11" s="212"/>
      <c r="T11" s="79">
        <f t="shared" si="0"/>
        <v>0</v>
      </c>
      <c r="U11" s="68"/>
      <c r="V11" s="68"/>
      <c r="W11" s="136"/>
      <c r="X11" s="124" t="s">
        <v>92</v>
      </c>
      <c r="Y11" s="124"/>
      <c r="Z11" s="124"/>
      <c r="AA11" s="124"/>
      <c r="AB11" s="124"/>
      <c r="AC11" s="124"/>
      <c r="AD11" s="125"/>
      <c r="AE11" s="125"/>
      <c r="AF11" s="125"/>
      <c r="AG11" s="126"/>
    </row>
    <row r="12" spans="1:35" ht="17.100000000000001" customHeight="1" x14ac:dyDescent="0.25">
      <c r="B12" s="74"/>
      <c r="C12" s="193"/>
      <c r="D12" s="194"/>
      <c r="E12" s="195"/>
      <c r="F12" s="200"/>
      <c r="G12" s="201"/>
      <c r="H12" s="201"/>
      <c r="I12" s="201"/>
      <c r="J12" s="201"/>
      <c r="K12" s="201"/>
      <c r="L12" s="202"/>
      <c r="M12" s="206"/>
      <c r="N12" s="194"/>
      <c r="O12" s="80"/>
      <c r="P12" s="81" t="s">
        <v>36</v>
      </c>
      <c r="Q12" s="82"/>
      <c r="R12" s="211"/>
      <c r="S12" s="212"/>
      <c r="T12" s="79">
        <f t="shared" si="0"/>
        <v>0</v>
      </c>
      <c r="U12" s="68"/>
      <c r="V12" s="68"/>
      <c r="W12" s="136"/>
      <c r="X12" s="124"/>
      <c r="Y12" s="124" t="s">
        <v>95</v>
      </c>
      <c r="Z12" s="124"/>
      <c r="AA12" s="125"/>
      <c r="AB12" s="125"/>
      <c r="AC12" s="125"/>
      <c r="AD12" s="125"/>
      <c r="AE12" s="125"/>
      <c r="AF12" s="125"/>
      <c r="AG12" s="126"/>
    </row>
    <row r="13" spans="1:35" ht="17.100000000000001" customHeight="1" x14ac:dyDescent="0.25">
      <c r="B13" s="74"/>
      <c r="C13" s="196"/>
      <c r="D13" s="158"/>
      <c r="E13" s="159"/>
      <c r="F13" s="203"/>
      <c r="G13" s="203"/>
      <c r="H13" s="203"/>
      <c r="I13" s="203"/>
      <c r="J13" s="203"/>
      <c r="K13" s="203"/>
      <c r="L13" s="204"/>
      <c r="M13" s="206"/>
      <c r="N13" s="194"/>
      <c r="O13" s="84"/>
      <c r="P13" s="85" t="s">
        <v>36</v>
      </c>
      <c r="Q13" s="86"/>
      <c r="R13" s="213"/>
      <c r="S13" s="214"/>
      <c r="T13" s="79">
        <f t="shared" si="0"/>
        <v>0</v>
      </c>
      <c r="U13" s="68"/>
      <c r="V13" s="68"/>
      <c r="W13" s="136"/>
      <c r="X13" s="124"/>
      <c r="Y13" s="125"/>
      <c r="Z13" s="124" t="s">
        <v>94</v>
      </c>
      <c r="AA13" s="124"/>
      <c r="AB13" s="124"/>
      <c r="AC13" s="124"/>
      <c r="AD13" s="124"/>
      <c r="AE13" s="124"/>
      <c r="AF13" s="124"/>
      <c r="AG13" s="126"/>
    </row>
    <row r="14" spans="1:35" ht="17.100000000000001" customHeight="1" thickBot="1" x14ac:dyDescent="0.3">
      <c r="B14" s="74" t="s">
        <v>37</v>
      </c>
      <c r="C14" s="190" t="s">
        <v>37</v>
      </c>
      <c r="D14" s="191"/>
      <c r="E14" s="192"/>
      <c r="F14" s="197" t="s">
        <v>110</v>
      </c>
      <c r="G14" s="198"/>
      <c r="H14" s="198"/>
      <c r="I14" s="198"/>
      <c r="J14" s="198"/>
      <c r="K14" s="198"/>
      <c r="L14" s="199"/>
      <c r="M14" s="206"/>
      <c r="N14" s="194"/>
      <c r="O14" s="183" t="s">
        <v>38</v>
      </c>
      <c r="P14" s="163"/>
      <c r="Q14" s="163"/>
      <c r="R14" s="164"/>
      <c r="S14" s="87"/>
      <c r="T14" s="61"/>
      <c r="U14" s="68"/>
      <c r="V14" s="68"/>
      <c r="W14" s="140"/>
      <c r="X14" s="131"/>
      <c r="Y14" s="130"/>
      <c r="Z14" s="131" t="s">
        <v>93</v>
      </c>
      <c r="AA14" s="131"/>
      <c r="AB14" s="130"/>
      <c r="AC14" s="131"/>
      <c r="AD14" s="131"/>
      <c r="AE14" s="131"/>
      <c r="AF14" s="131"/>
      <c r="AG14" s="132"/>
    </row>
    <row r="15" spans="1:35" ht="17.100000000000001" customHeight="1" thickBot="1" x14ac:dyDescent="0.3">
      <c r="B15" s="74"/>
      <c r="C15" s="215"/>
      <c r="D15" s="208"/>
      <c r="E15" s="216"/>
      <c r="F15" s="218"/>
      <c r="G15" s="218"/>
      <c r="H15" s="218"/>
      <c r="I15" s="218"/>
      <c r="J15" s="218"/>
      <c r="K15" s="218"/>
      <c r="L15" s="219"/>
      <c r="M15" s="207"/>
      <c r="N15" s="208"/>
      <c r="O15" s="220" t="s">
        <v>39</v>
      </c>
      <c r="P15" s="221"/>
      <c r="Q15" s="221"/>
      <c r="R15" s="222"/>
      <c r="S15" s="89"/>
      <c r="T15" s="61"/>
      <c r="U15" s="68"/>
      <c r="V15" s="68"/>
      <c r="W15" s="83"/>
    </row>
    <row r="16" spans="1:35" s="90" customFormat="1" ht="17.100000000000001" customHeight="1" thickTop="1" x14ac:dyDescent="0.25">
      <c r="J16" s="91"/>
      <c r="K16" s="92"/>
      <c r="T16" s="92"/>
      <c r="U16" s="92"/>
      <c r="V16" s="92"/>
      <c r="Y16" s="156" t="s">
        <v>103</v>
      </c>
      <c r="Z16" s="156"/>
      <c r="AA16" s="156"/>
      <c r="AB16" s="156"/>
      <c r="AC16" s="156"/>
      <c r="AD16" s="156"/>
      <c r="AE16" s="156"/>
      <c r="AF16" s="156"/>
      <c r="AG16" s="156"/>
      <c r="AH16" s="60"/>
    </row>
    <row r="17" spans="1:34" s="90" customFormat="1" ht="17.100000000000001" customHeight="1" thickBot="1" x14ac:dyDescent="0.3">
      <c r="C17" s="92" t="s">
        <v>88</v>
      </c>
      <c r="D17" s="94"/>
      <c r="E17" s="95">
        <v>0.375</v>
      </c>
      <c r="F17" s="95">
        <v>0.76041666666666663</v>
      </c>
      <c r="G17" s="96">
        <v>0.5</v>
      </c>
      <c r="I17" s="96">
        <v>0.54166666666666663</v>
      </c>
      <c r="J17" s="91"/>
      <c r="K17" s="92"/>
      <c r="T17" s="92"/>
      <c r="U17" s="92"/>
      <c r="V17" s="92"/>
      <c r="X17" s="92" t="s">
        <v>88</v>
      </c>
      <c r="Y17" s="95">
        <v>0.5</v>
      </c>
      <c r="Z17" s="95">
        <v>0.54166666666666663</v>
      </c>
      <c r="AA17" s="95">
        <v>0.71875</v>
      </c>
      <c r="AB17" s="95">
        <v>0.72916666666666663</v>
      </c>
      <c r="AC17" s="95">
        <v>0.77083333333333337</v>
      </c>
      <c r="AD17" s="95">
        <v>0.79166666666666663</v>
      </c>
      <c r="AE17" s="95">
        <v>0.89583333333333337</v>
      </c>
      <c r="AF17" s="95">
        <v>0.91666666666666663</v>
      </c>
      <c r="AG17" s="93"/>
      <c r="AH17" s="60"/>
    </row>
    <row r="18" spans="1:34" s="90" customFormat="1" ht="17.100000000000001" customHeight="1" thickBot="1" x14ac:dyDescent="0.3">
      <c r="J18" s="91"/>
      <c r="K18" s="92"/>
      <c r="T18" s="92"/>
      <c r="U18" s="92"/>
      <c r="V18" s="92"/>
      <c r="Y18" s="154" t="s">
        <v>96</v>
      </c>
      <c r="Z18" s="155"/>
      <c r="AA18" s="154" t="s">
        <v>97</v>
      </c>
      <c r="AB18" s="155"/>
      <c r="AC18" s="154" t="s">
        <v>98</v>
      </c>
      <c r="AD18" s="155"/>
      <c r="AE18" s="154" t="s">
        <v>99</v>
      </c>
      <c r="AF18" s="155"/>
      <c r="AG18" s="97"/>
    </row>
    <row r="19" spans="1:34" ht="30" customHeight="1" thickTop="1" thickBot="1" x14ac:dyDescent="0.3">
      <c r="A19" s="60" t="s">
        <v>40</v>
      </c>
      <c r="B19" s="61"/>
      <c r="C19" s="111" t="s">
        <v>42</v>
      </c>
      <c r="D19" s="112" t="s">
        <v>43</v>
      </c>
      <c r="E19" s="113" t="s">
        <v>44</v>
      </c>
      <c r="F19" s="114" t="s">
        <v>45</v>
      </c>
      <c r="G19" s="184" t="s">
        <v>107</v>
      </c>
      <c r="H19" s="185"/>
      <c r="I19" s="186"/>
      <c r="J19" s="115" t="s">
        <v>47</v>
      </c>
      <c r="K19" s="111" t="s">
        <v>48</v>
      </c>
      <c r="L19" s="111" t="s">
        <v>49</v>
      </c>
      <c r="M19" s="111" t="s">
        <v>50</v>
      </c>
      <c r="N19" s="116" t="s">
        <v>51</v>
      </c>
      <c r="O19" s="187" t="s">
        <v>52</v>
      </c>
      <c r="P19" s="188"/>
      <c r="Q19" s="188"/>
      <c r="R19" s="188"/>
      <c r="S19" s="189"/>
      <c r="T19" s="115" t="s">
        <v>53</v>
      </c>
      <c r="U19" s="111" t="s">
        <v>54</v>
      </c>
      <c r="V19" s="111" t="s">
        <v>55</v>
      </c>
      <c r="W19" s="111" t="s">
        <v>56</v>
      </c>
      <c r="X19" s="71"/>
      <c r="Y19" s="117" t="s">
        <v>100</v>
      </c>
      <c r="Z19" s="118" t="s">
        <v>101</v>
      </c>
      <c r="AA19" s="118" t="s">
        <v>100</v>
      </c>
      <c r="AB19" s="118" t="s">
        <v>101</v>
      </c>
      <c r="AC19" s="118" t="s">
        <v>100</v>
      </c>
      <c r="AD19" s="118" t="s">
        <v>101</v>
      </c>
      <c r="AE19" s="118" t="s">
        <v>100</v>
      </c>
      <c r="AF19" s="118" t="s">
        <v>101</v>
      </c>
      <c r="AG19" s="119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8">
        <f>IFERROR(DATE(O2,R2,1),"")</f>
        <v>45748</v>
      </c>
      <c r="D20" s="99" t="str">
        <f t="shared" ref="D20:D50" si="1">TEXT(C20,"aaa")</f>
        <v>火</v>
      </c>
      <c r="E20" s="100">
        <v>0.4375</v>
      </c>
      <c r="F20" s="101">
        <v>0.79166666666666663</v>
      </c>
      <c r="G20" s="102">
        <v>0.54166666666666663</v>
      </c>
      <c r="H20" s="102" t="s">
        <v>36</v>
      </c>
      <c r="I20" s="103">
        <v>0.58333333333333337</v>
      </c>
      <c r="J20" s="104">
        <f t="shared" ref="J20:J50" si="2">IFERROR(IF(G20="",0,I20-G20),"")</f>
        <v>4.1666666666666741E-2</v>
      </c>
      <c r="K20" s="102">
        <f t="shared" ref="K20:K50" si="3">IFERROR(IF(E20="",0,F20-E20-J20),"")</f>
        <v>0.31249999999999989</v>
      </c>
      <c r="L20" s="102"/>
      <c r="M20" s="102"/>
      <c r="N20" s="99"/>
      <c r="O20" s="153" t="s">
        <v>113</v>
      </c>
      <c r="P20" s="66"/>
      <c r="Q20" s="66"/>
      <c r="R20" s="66"/>
      <c r="S20" s="67"/>
      <c r="T20" s="104">
        <f t="shared" ref="T20:U50" si="4">E20</f>
        <v>0.4375</v>
      </c>
      <c r="U20" s="101">
        <f t="shared" si="4"/>
        <v>0.79166666666666663</v>
      </c>
      <c r="V20" s="102">
        <f t="shared" ref="V20:V50" si="5">IFERROR(IF(T20="",0,U20-T20-J20),"")</f>
        <v>0.31249999999999989</v>
      </c>
      <c r="W20" s="102"/>
      <c r="X20" s="105"/>
      <c r="Y20" s="144"/>
      <c r="Z20" s="145"/>
      <c r="AA20" s="145"/>
      <c r="AB20" s="145"/>
      <c r="AC20" s="145"/>
      <c r="AD20" s="145"/>
      <c r="AE20" s="145"/>
      <c r="AF20" s="145"/>
      <c r="AG20" s="146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8">
        <f t="shared" ref="C21:C50" si="6">IF(C20="","",IF(DAY(C20+1)=1,"",C20+1))</f>
        <v>45749</v>
      </c>
      <c r="D21" s="99" t="str">
        <f t="shared" si="1"/>
        <v>水</v>
      </c>
      <c r="E21" s="100">
        <v>0.4375</v>
      </c>
      <c r="F21" s="101">
        <v>0.79166666666666663</v>
      </c>
      <c r="G21" s="102">
        <v>0.54166666666666663</v>
      </c>
      <c r="H21" s="102" t="s">
        <v>36</v>
      </c>
      <c r="I21" s="103">
        <v>0.58333333333333337</v>
      </c>
      <c r="J21" s="104">
        <f t="shared" si="2"/>
        <v>4.1666666666666741E-2</v>
      </c>
      <c r="K21" s="102">
        <f t="shared" si="3"/>
        <v>0.31249999999999989</v>
      </c>
      <c r="L21" s="102"/>
      <c r="M21" s="141"/>
      <c r="N21" s="99"/>
      <c r="O21" s="153" t="s">
        <v>113</v>
      </c>
      <c r="P21" s="66"/>
      <c r="Q21" s="66"/>
      <c r="R21" s="66"/>
      <c r="S21" s="67"/>
      <c r="T21" s="104">
        <f t="shared" si="4"/>
        <v>0.4375</v>
      </c>
      <c r="U21" s="101">
        <f t="shared" si="4"/>
        <v>0.79166666666666663</v>
      </c>
      <c r="V21" s="102">
        <f t="shared" si="5"/>
        <v>0.31249999999999989</v>
      </c>
      <c r="W21" s="102" t="str">
        <f>IFERROR(FLOOR(K21,TIME(0,VLOOKUP($C$3,#REF!,22,0),0)),"")</f>
        <v/>
      </c>
      <c r="X21" s="105"/>
      <c r="Y21" s="147"/>
      <c r="Z21" s="148"/>
      <c r="AA21" s="148"/>
      <c r="AB21" s="148"/>
      <c r="AC21" s="148"/>
      <c r="AD21" s="148"/>
      <c r="AE21" s="148"/>
      <c r="AF21" s="148"/>
      <c r="AG21" s="149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8">
        <f t="shared" si="6"/>
        <v>45750</v>
      </c>
      <c r="D22" s="99" t="str">
        <f t="shared" si="1"/>
        <v>木</v>
      </c>
      <c r="E22" s="100">
        <v>0.4375</v>
      </c>
      <c r="F22" s="101">
        <v>0.79166666666666663</v>
      </c>
      <c r="G22" s="102">
        <v>0.54166666666666663</v>
      </c>
      <c r="H22" s="102" t="s">
        <v>36</v>
      </c>
      <c r="I22" s="103">
        <v>0.58333333333333337</v>
      </c>
      <c r="J22" s="104">
        <f t="shared" si="2"/>
        <v>4.1666666666666741E-2</v>
      </c>
      <c r="K22" s="102">
        <f t="shared" si="3"/>
        <v>0.31249999999999989</v>
      </c>
      <c r="L22" s="102"/>
      <c r="M22" s="141"/>
      <c r="N22" s="99"/>
      <c r="O22" s="153" t="s">
        <v>113</v>
      </c>
      <c r="P22" s="66"/>
      <c r="Q22" s="66"/>
      <c r="R22" s="66"/>
      <c r="S22" s="67"/>
      <c r="T22" s="104">
        <f t="shared" si="4"/>
        <v>0.4375</v>
      </c>
      <c r="U22" s="101">
        <f t="shared" si="4"/>
        <v>0.79166666666666663</v>
      </c>
      <c r="V22" s="102">
        <f t="shared" si="5"/>
        <v>0.31249999999999989</v>
      </c>
      <c r="W22" s="102" t="str">
        <f>IFERROR(FLOOR(K22,TIME(0,VLOOKUP($C$3,#REF!,22,0),0)),"")</f>
        <v/>
      </c>
      <c r="X22" s="105"/>
      <c r="Y22" s="147"/>
      <c r="Z22" s="148"/>
      <c r="AA22" s="148"/>
      <c r="AB22" s="148"/>
      <c r="AC22" s="148"/>
      <c r="AD22" s="148"/>
      <c r="AE22" s="148"/>
      <c r="AF22" s="148"/>
      <c r="AG22" s="149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8">
        <f t="shared" si="6"/>
        <v>45751</v>
      </c>
      <c r="D23" s="99" t="str">
        <f t="shared" si="1"/>
        <v>金</v>
      </c>
      <c r="E23" s="100">
        <v>0.4375</v>
      </c>
      <c r="F23" s="101">
        <v>0.79166666666666663</v>
      </c>
      <c r="G23" s="102">
        <v>0.54166666666666663</v>
      </c>
      <c r="H23" s="102" t="s">
        <v>36</v>
      </c>
      <c r="I23" s="103">
        <v>0.58333333333333337</v>
      </c>
      <c r="J23" s="104">
        <f t="shared" si="2"/>
        <v>4.1666666666666741E-2</v>
      </c>
      <c r="K23" s="102">
        <f t="shared" si="3"/>
        <v>0.31249999999999989</v>
      </c>
      <c r="L23" s="102"/>
      <c r="M23" s="141"/>
      <c r="N23" s="99"/>
      <c r="O23" s="153" t="s">
        <v>113</v>
      </c>
      <c r="P23" s="66"/>
      <c r="Q23" s="66"/>
      <c r="R23" s="66"/>
      <c r="S23" s="67"/>
      <c r="T23" s="104">
        <f t="shared" si="4"/>
        <v>0.4375</v>
      </c>
      <c r="U23" s="101">
        <f t="shared" si="4"/>
        <v>0.79166666666666663</v>
      </c>
      <c r="V23" s="102">
        <f t="shared" si="5"/>
        <v>0.31249999999999989</v>
      </c>
      <c r="W23" s="102" t="str">
        <f>IFERROR(FLOOR(K23,TIME(0,VLOOKUP($C$3,#REF!,22,0),0)),"")</f>
        <v/>
      </c>
      <c r="X23" s="105"/>
      <c r="Y23" s="147"/>
      <c r="Z23" s="148"/>
      <c r="AA23" s="148"/>
      <c r="AB23" s="148"/>
      <c r="AC23" s="148"/>
      <c r="AD23" s="148"/>
      <c r="AE23" s="148"/>
      <c r="AF23" s="148"/>
      <c r="AG23" s="149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8">
        <f t="shared" si="6"/>
        <v>45752</v>
      </c>
      <c r="D24" s="99" t="str">
        <f t="shared" si="1"/>
        <v>土</v>
      </c>
      <c r="E24" s="100"/>
      <c r="F24" s="101"/>
      <c r="G24" s="102"/>
      <c r="H24" s="102"/>
      <c r="I24" s="103"/>
      <c r="J24" s="104"/>
      <c r="K24" s="102"/>
      <c r="L24" s="102"/>
      <c r="M24" s="141"/>
      <c r="N24" s="99"/>
      <c r="O24" s="153"/>
      <c r="P24" s="66"/>
      <c r="Q24" s="66"/>
      <c r="R24" s="66"/>
      <c r="S24" s="67"/>
      <c r="T24" s="104"/>
      <c r="U24" s="101"/>
      <c r="V24" s="102"/>
      <c r="W24" s="102" t="str">
        <f>IFERROR(FLOOR(K24,TIME(0,VLOOKUP($C$3,#REF!,22,0),0)),"")</f>
        <v/>
      </c>
      <c r="X24" s="105"/>
      <c r="Y24" s="147"/>
      <c r="Z24" s="148"/>
      <c r="AA24" s="148"/>
      <c r="AB24" s="148"/>
      <c r="AC24" s="148"/>
      <c r="AD24" s="148"/>
      <c r="AE24" s="148"/>
      <c r="AF24" s="148"/>
      <c r="AG24" s="149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8">
        <f t="shared" si="6"/>
        <v>45753</v>
      </c>
      <c r="D25" s="99" t="str">
        <f t="shared" si="1"/>
        <v>日</v>
      </c>
      <c r="E25" s="100"/>
      <c r="F25" s="101"/>
      <c r="G25" s="102"/>
      <c r="H25" s="102"/>
      <c r="I25" s="103"/>
      <c r="J25" s="104"/>
      <c r="K25" s="102"/>
      <c r="L25" s="102"/>
      <c r="M25" s="141"/>
      <c r="N25" s="99"/>
      <c r="O25" s="153"/>
      <c r="P25" s="66"/>
      <c r="Q25" s="66"/>
      <c r="R25" s="66"/>
      <c r="S25" s="67"/>
      <c r="T25" s="104"/>
      <c r="U25" s="101"/>
      <c r="V25" s="102"/>
      <c r="W25" s="102" t="str">
        <f>IFERROR(FLOOR(K25,TIME(0,VLOOKUP($C$3,#REF!,22,0),0)),"")</f>
        <v/>
      </c>
      <c r="X25" s="105"/>
      <c r="Y25" s="147"/>
      <c r="Z25" s="148"/>
      <c r="AA25" s="148"/>
      <c r="AB25" s="148"/>
      <c r="AC25" s="148"/>
      <c r="AD25" s="148"/>
      <c r="AE25" s="148"/>
      <c r="AF25" s="148"/>
      <c r="AG25" s="149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8">
        <f t="shared" si="6"/>
        <v>45754</v>
      </c>
      <c r="D26" s="99" t="str">
        <f t="shared" si="1"/>
        <v>月</v>
      </c>
      <c r="E26" s="100">
        <v>0.4375</v>
      </c>
      <c r="F26" s="101">
        <v>0.79166666666666663</v>
      </c>
      <c r="G26" s="102">
        <v>0.54166666666666663</v>
      </c>
      <c r="H26" s="102" t="s">
        <v>36</v>
      </c>
      <c r="I26" s="103">
        <v>0.58333333333333337</v>
      </c>
      <c r="J26" s="104">
        <f t="shared" si="2"/>
        <v>4.1666666666666741E-2</v>
      </c>
      <c r="K26" s="102">
        <f t="shared" si="3"/>
        <v>0.31249999999999989</v>
      </c>
      <c r="L26" s="102"/>
      <c r="M26" s="141"/>
      <c r="N26" s="99"/>
      <c r="O26" s="153" t="s">
        <v>113</v>
      </c>
      <c r="P26" s="66"/>
      <c r="Q26" s="66"/>
      <c r="R26" s="66"/>
      <c r="S26" s="67"/>
      <c r="T26" s="104">
        <f t="shared" si="4"/>
        <v>0.4375</v>
      </c>
      <c r="U26" s="101">
        <f t="shared" si="4"/>
        <v>0.79166666666666663</v>
      </c>
      <c r="V26" s="102">
        <f t="shared" si="5"/>
        <v>0.31249999999999989</v>
      </c>
      <c r="W26" s="102" t="str">
        <f>IFERROR(FLOOR(K26,TIME(0,VLOOKUP($C$3,#REF!,22,0),0)),"")</f>
        <v/>
      </c>
      <c r="X26" s="105"/>
      <c r="Y26" s="147"/>
      <c r="Z26" s="148"/>
      <c r="AA26" s="148"/>
      <c r="AB26" s="148"/>
      <c r="AC26" s="148"/>
      <c r="AD26" s="148"/>
      <c r="AE26" s="148"/>
      <c r="AF26" s="148"/>
      <c r="AG26" s="149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8">
        <f t="shared" si="6"/>
        <v>45755</v>
      </c>
      <c r="D27" s="99" t="str">
        <f t="shared" si="1"/>
        <v>火</v>
      </c>
      <c r="E27" s="100">
        <v>0.4375</v>
      </c>
      <c r="F27" s="101">
        <v>0.79166666666666663</v>
      </c>
      <c r="G27" s="102">
        <v>0.54166666666666663</v>
      </c>
      <c r="H27" s="102" t="s">
        <v>36</v>
      </c>
      <c r="I27" s="103">
        <v>0.58333333333333337</v>
      </c>
      <c r="J27" s="104">
        <f t="shared" si="2"/>
        <v>4.1666666666666741E-2</v>
      </c>
      <c r="K27" s="102">
        <f t="shared" si="3"/>
        <v>0.31249999999999989</v>
      </c>
      <c r="L27" s="102"/>
      <c r="M27" s="141"/>
      <c r="N27" s="99"/>
      <c r="O27" s="153" t="s">
        <v>113</v>
      </c>
      <c r="P27" s="66"/>
      <c r="Q27" s="66"/>
      <c r="R27" s="66"/>
      <c r="S27" s="67"/>
      <c r="T27" s="104">
        <f t="shared" si="4"/>
        <v>0.4375</v>
      </c>
      <c r="U27" s="101">
        <f t="shared" si="4"/>
        <v>0.79166666666666663</v>
      </c>
      <c r="V27" s="102">
        <f t="shared" si="5"/>
        <v>0.31249999999999989</v>
      </c>
      <c r="W27" s="102" t="str">
        <f>IFERROR(FLOOR(K27,TIME(0,VLOOKUP($C$3,#REF!,22,0),0)),"")</f>
        <v/>
      </c>
      <c r="X27" s="105"/>
      <c r="Y27" s="147"/>
      <c r="Z27" s="148"/>
      <c r="AA27" s="148"/>
      <c r="AB27" s="148"/>
      <c r="AC27" s="148"/>
      <c r="AD27" s="148"/>
      <c r="AE27" s="148"/>
      <c r="AF27" s="148"/>
      <c r="AG27" s="149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8">
        <f t="shared" si="6"/>
        <v>45756</v>
      </c>
      <c r="D28" s="99" t="str">
        <f t="shared" si="1"/>
        <v>水</v>
      </c>
      <c r="E28" s="100">
        <v>0.4375</v>
      </c>
      <c r="F28" s="101">
        <v>0.79166666666666663</v>
      </c>
      <c r="G28" s="102">
        <v>0.54166666666666663</v>
      </c>
      <c r="H28" s="102" t="s">
        <v>36</v>
      </c>
      <c r="I28" s="103">
        <v>0.58333333333333337</v>
      </c>
      <c r="J28" s="104">
        <f t="shared" si="2"/>
        <v>4.1666666666666741E-2</v>
      </c>
      <c r="K28" s="102">
        <f t="shared" si="3"/>
        <v>0.31249999999999989</v>
      </c>
      <c r="L28" s="102"/>
      <c r="M28" s="141"/>
      <c r="N28" s="99"/>
      <c r="O28" s="153" t="s">
        <v>113</v>
      </c>
      <c r="P28" s="66"/>
      <c r="Q28" s="66"/>
      <c r="R28" s="66"/>
      <c r="S28" s="67"/>
      <c r="T28" s="104">
        <f t="shared" si="4"/>
        <v>0.4375</v>
      </c>
      <c r="U28" s="101">
        <f t="shared" si="4"/>
        <v>0.79166666666666663</v>
      </c>
      <c r="V28" s="102">
        <f t="shared" si="5"/>
        <v>0.31249999999999989</v>
      </c>
      <c r="W28" s="102" t="str">
        <f>IFERROR(FLOOR(K28,TIME(0,VLOOKUP($C$3,#REF!,22,0),0)),"")</f>
        <v/>
      </c>
      <c r="X28" s="105"/>
      <c r="Y28" s="147"/>
      <c r="Z28" s="148"/>
      <c r="AA28" s="148"/>
      <c r="AB28" s="148"/>
      <c r="AC28" s="148"/>
      <c r="AD28" s="148"/>
      <c r="AE28" s="148"/>
      <c r="AF28" s="148"/>
      <c r="AG28" s="149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8">
        <f t="shared" si="6"/>
        <v>45757</v>
      </c>
      <c r="D29" s="99" t="str">
        <f t="shared" si="1"/>
        <v>木</v>
      </c>
      <c r="E29" s="100">
        <v>0.4375</v>
      </c>
      <c r="F29" s="101">
        <v>0.79166666666666663</v>
      </c>
      <c r="G29" s="102">
        <v>0.54166666666666663</v>
      </c>
      <c r="H29" s="102" t="s">
        <v>36</v>
      </c>
      <c r="I29" s="103">
        <v>0.58333333333333337</v>
      </c>
      <c r="J29" s="104">
        <f t="shared" si="2"/>
        <v>4.1666666666666741E-2</v>
      </c>
      <c r="K29" s="102">
        <f t="shared" si="3"/>
        <v>0.31249999999999989</v>
      </c>
      <c r="L29" s="102"/>
      <c r="M29" s="141"/>
      <c r="N29" s="99"/>
      <c r="O29" s="153" t="s">
        <v>113</v>
      </c>
      <c r="P29" s="66"/>
      <c r="Q29" s="66"/>
      <c r="R29" s="66"/>
      <c r="S29" s="67"/>
      <c r="T29" s="104">
        <f t="shared" si="4"/>
        <v>0.4375</v>
      </c>
      <c r="U29" s="101">
        <f t="shared" si="4"/>
        <v>0.79166666666666663</v>
      </c>
      <c r="V29" s="102">
        <f t="shared" si="5"/>
        <v>0.31249999999999989</v>
      </c>
      <c r="W29" s="102" t="str">
        <f>IFERROR(FLOOR(K29,TIME(0,VLOOKUP($C$3,#REF!,22,0),0)),"")</f>
        <v/>
      </c>
      <c r="X29" s="105"/>
      <c r="Y29" s="147"/>
      <c r="Z29" s="148"/>
      <c r="AA29" s="148"/>
      <c r="AB29" s="148"/>
      <c r="AC29" s="148"/>
      <c r="AD29" s="148"/>
      <c r="AE29" s="148"/>
      <c r="AF29" s="148"/>
      <c r="AG29" s="149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8">
        <f t="shared" si="6"/>
        <v>45758</v>
      </c>
      <c r="D30" s="99" t="str">
        <f t="shared" si="1"/>
        <v>金</v>
      </c>
      <c r="E30" s="100">
        <v>0.4375</v>
      </c>
      <c r="F30" s="101">
        <v>0.79166666666666663</v>
      </c>
      <c r="G30" s="102">
        <v>0.54166666666666663</v>
      </c>
      <c r="H30" s="102" t="s">
        <v>36</v>
      </c>
      <c r="I30" s="103">
        <v>0.58333333333333337</v>
      </c>
      <c r="J30" s="104">
        <f t="shared" si="2"/>
        <v>4.1666666666666741E-2</v>
      </c>
      <c r="K30" s="102">
        <f t="shared" si="3"/>
        <v>0.31249999999999989</v>
      </c>
      <c r="L30" s="102"/>
      <c r="M30" s="141"/>
      <c r="N30" s="99"/>
      <c r="O30" s="153" t="s">
        <v>113</v>
      </c>
      <c r="P30" s="66"/>
      <c r="Q30" s="66"/>
      <c r="R30" s="66"/>
      <c r="S30" s="67"/>
      <c r="T30" s="104">
        <f t="shared" si="4"/>
        <v>0.4375</v>
      </c>
      <c r="U30" s="101">
        <f t="shared" si="4"/>
        <v>0.79166666666666663</v>
      </c>
      <c r="V30" s="102">
        <f t="shared" si="5"/>
        <v>0.31249999999999989</v>
      </c>
      <c r="W30" s="102" t="str">
        <f>IFERROR(FLOOR(K30,TIME(0,VLOOKUP($C$3,#REF!,22,0),0)),"")</f>
        <v/>
      </c>
      <c r="X30" s="105"/>
      <c r="Y30" s="147"/>
      <c r="Z30" s="148"/>
      <c r="AA30" s="148"/>
      <c r="AB30" s="148"/>
      <c r="AC30" s="148"/>
      <c r="AD30" s="148"/>
      <c r="AE30" s="148"/>
      <c r="AF30" s="148"/>
      <c r="AG30" s="149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8">
        <f t="shared" si="6"/>
        <v>45759</v>
      </c>
      <c r="D31" s="99" t="str">
        <f t="shared" si="1"/>
        <v>土</v>
      </c>
      <c r="E31" s="100"/>
      <c r="F31" s="101"/>
      <c r="G31" s="102"/>
      <c r="H31" s="102"/>
      <c r="I31" s="103"/>
      <c r="J31" s="104"/>
      <c r="K31" s="102"/>
      <c r="L31" s="102"/>
      <c r="M31" s="141"/>
      <c r="N31" s="99"/>
      <c r="O31" s="153"/>
      <c r="P31" s="66"/>
      <c r="Q31" s="66"/>
      <c r="R31" s="66"/>
      <c r="S31" s="67"/>
      <c r="T31" s="104"/>
      <c r="U31" s="101"/>
      <c r="V31" s="102"/>
      <c r="W31" s="102" t="str">
        <f>IFERROR(FLOOR(K31,TIME(0,VLOOKUP($C$3,#REF!,22,0),0)),"")</f>
        <v/>
      </c>
      <c r="X31" s="105"/>
      <c r="Y31" s="147"/>
      <c r="Z31" s="148"/>
      <c r="AA31" s="148"/>
      <c r="AB31" s="148"/>
      <c r="AC31" s="148"/>
      <c r="AD31" s="148"/>
      <c r="AE31" s="148"/>
      <c r="AF31" s="148"/>
      <c r="AG31" s="149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8">
        <f t="shared" si="6"/>
        <v>45760</v>
      </c>
      <c r="D32" s="99" t="str">
        <f t="shared" si="1"/>
        <v>日</v>
      </c>
      <c r="E32" s="100"/>
      <c r="F32" s="101"/>
      <c r="G32" s="102"/>
      <c r="H32" s="102"/>
      <c r="I32" s="103"/>
      <c r="J32" s="104"/>
      <c r="K32" s="102"/>
      <c r="L32" s="102"/>
      <c r="M32" s="141"/>
      <c r="N32" s="99"/>
      <c r="O32" s="153"/>
      <c r="P32" s="66"/>
      <c r="Q32" s="66"/>
      <c r="R32" s="66"/>
      <c r="S32" s="67"/>
      <c r="T32" s="104"/>
      <c r="U32" s="101"/>
      <c r="V32" s="102"/>
      <c r="W32" s="102" t="str">
        <f>IFERROR(FLOOR(K32,TIME(0,VLOOKUP($C$3,#REF!,22,0),0)),"")</f>
        <v/>
      </c>
      <c r="X32" s="105"/>
      <c r="Y32" s="147"/>
      <c r="Z32" s="148"/>
      <c r="AA32" s="148"/>
      <c r="AB32" s="148"/>
      <c r="AC32" s="148"/>
      <c r="AD32" s="148"/>
      <c r="AE32" s="148"/>
      <c r="AF32" s="148"/>
      <c r="AG32" s="149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8">
        <f t="shared" si="6"/>
        <v>45761</v>
      </c>
      <c r="D33" s="99" t="str">
        <f t="shared" si="1"/>
        <v>月</v>
      </c>
      <c r="E33" s="100">
        <v>0.4375</v>
      </c>
      <c r="F33" s="101">
        <v>0.79166666666666663</v>
      </c>
      <c r="G33" s="102">
        <v>0.54166666666666663</v>
      </c>
      <c r="H33" s="102" t="s">
        <v>36</v>
      </c>
      <c r="I33" s="103">
        <v>0.58333333333333337</v>
      </c>
      <c r="J33" s="104">
        <f t="shared" si="2"/>
        <v>4.1666666666666741E-2</v>
      </c>
      <c r="K33" s="102">
        <f t="shared" si="3"/>
        <v>0.31249999999999989</v>
      </c>
      <c r="L33" s="102"/>
      <c r="M33" s="141"/>
      <c r="N33" s="99"/>
      <c r="O33" s="153" t="s">
        <v>113</v>
      </c>
      <c r="P33" s="66"/>
      <c r="Q33" s="66"/>
      <c r="R33" s="66"/>
      <c r="S33" s="67"/>
      <c r="T33" s="104">
        <f t="shared" si="4"/>
        <v>0.4375</v>
      </c>
      <c r="U33" s="101">
        <f t="shared" si="4"/>
        <v>0.79166666666666663</v>
      </c>
      <c r="V33" s="102">
        <f t="shared" si="5"/>
        <v>0.31249999999999989</v>
      </c>
      <c r="W33" s="102" t="str">
        <f>IFERROR(FLOOR(K33,TIME(0,VLOOKUP($C$3,#REF!,22,0),0)),"")</f>
        <v/>
      </c>
      <c r="X33" s="105"/>
      <c r="Y33" s="147"/>
      <c r="Z33" s="148"/>
      <c r="AA33" s="148"/>
      <c r="AB33" s="148"/>
      <c r="AC33" s="148"/>
      <c r="AD33" s="148"/>
      <c r="AE33" s="148"/>
      <c r="AF33" s="148"/>
      <c r="AG33" s="149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8">
        <f t="shared" si="6"/>
        <v>45762</v>
      </c>
      <c r="D34" s="99" t="str">
        <f t="shared" si="1"/>
        <v>火</v>
      </c>
      <c r="E34" s="100">
        <v>0.4375</v>
      </c>
      <c r="F34" s="101">
        <v>0.79166666666666663</v>
      </c>
      <c r="G34" s="102">
        <v>0.54166666666666663</v>
      </c>
      <c r="H34" s="102" t="s">
        <v>36</v>
      </c>
      <c r="I34" s="103">
        <v>0.58333333333333337</v>
      </c>
      <c r="J34" s="104">
        <f t="shared" si="2"/>
        <v>4.1666666666666741E-2</v>
      </c>
      <c r="K34" s="102">
        <f t="shared" si="3"/>
        <v>0.31249999999999989</v>
      </c>
      <c r="L34" s="102"/>
      <c r="M34" s="141"/>
      <c r="N34" s="99"/>
      <c r="O34" s="153" t="s">
        <v>113</v>
      </c>
      <c r="P34" s="66"/>
      <c r="Q34" s="66"/>
      <c r="R34" s="66"/>
      <c r="S34" s="67"/>
      <c r="T34" s="104">
        <f t="shared" si="4"/>
        <v>0.4375</v>
      </c>
      <c r="U34" s="101">
        <f t="shared" si="4"/>
        <v>0.79166666666666663</v>
      </c>
      <c r="V34" s="102">
        <f t="shared" si="5"/>
        <v>0.31249999999999989</v>
      </c>
      <c r="W34" s="102" t="str">
        <f>IFERROR(FLOOR(K34,TIME(0,VLOOKUP($C$3,#REF!,22,0),0)),"")</f>
        <v/>
      </c>
      <c r="X34" s="105"/>
      <c r="Y34" s="147"/>
      <c r="Z34" s="148"/>
      <c r="AA34" s="148"/>
      <c r="AB34" s="148"/>
      <c r="AC34" s="148"/>
      <c r="AD34" s="148"/>
      <c r="AE34" s="148"/>
      <c r="AF34" s="148"/>
      <c r="AG34" s="149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8">
        <f t="shared" si="6"/>
        <v>45763</v>
      </c>
      <c r="D35" s="99" t="str">
        <f t="shared" si="1"/>
        <v>水</v>
      </c>
      <c r="E35" s="100">
        <v>0.4375</v>
      </c>
      <c r="F35" s="101">
        <v>0.79166666666666663</v>
      </c>
      <c r="G35" s="102">
        <v>0.54166666666666663</v>
      </c>
      <c r="H35" s="102" t="s">
        <v>36</v>
      </c>
      <c r="I35" s="103">
        <v>0.58333333333333337</v>
      </c>
      <c r="J35" s="104">
        <f t="shared" si="2"/>
        <v>4.1666666666666741E-2</v>
      </c>
      <c r="K35" s="102">
        <f t="shared" si="3"/>
        <v>0.31249999999999989</v>
      </c>
      <c r="L35" s="102"/>
      <c r="M35" s="141"/>
      <c r="N35" s="99"/>
      <c r="O35" s="153" t="s">
        <v>113</v>
      </c>
      <c r="P35" s="66"/>
      <c r="Q35" s="66"/>
      <c r="R35" s="66"/>
      <c r="S35" s="67"/>
      <c r="T35" s="104">
        <f t="shared" si="4"/>
        <v>0.4375</v>
      </c>
      <c r="U35" s="101">
        <f t="shared" si="4"/>
        <v>0.79166666666666663</v>
      </c>
      <c r="V35" s="102">
        <f t="shared" si="5"/>
        <v>0.31249999999999989</v>
      </c>
      <c r="W35" s="102"/>
      <c r="X35" s="105"/>
      <c r="Y35" s="147"/>
      <c r="Z35" s="148"/>
      <c r="AA35" s="148"/>
      <c r="AB35" s="148"/>
      <c r="AC35" s="148"/>
      <c r="AD35" s="148"/>
      <c r="AE35" s="148"/>
      <c r="AF35" s="148"/>
      <c r="AG35" s="149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8">
        <f t="shared" si="6"/>
        <v>45764</v>
      </c>
      <c r="D36" s="99" t="str">
        <f t="shared" si="1"/>
        <v>木</v>
      </c>
      <c r="E36" s="100">
        <v>0.4375</v>
      </c>
      <c r="F36" s="101">
        <v>0.79166666666666663</v>
      </c>
      <c r="G36" s="102">
        <v>0.54166666666666663</v>
      </c>
      <c r="H36" s="102" t="s">
        <v>36</v>
      </c>
      <c r="I36" s="103">
        <v>0.58333333333333337</v>
      </c>
      <c r="J36" s="104">
        <f t="shared" si="2"/>
        <v>4.1666666666666741E-2</v>
      </c>
      <c r="K36" s="102">
        <f t="shared" si="3"/>
        <v>0.31249999999999989</v>
      </c>
      <c r="L36" s="102"/>
      <c r="M36" s="141"/>
      <c r="N36" s="99"/>
      <c r="O36" s="153" t="s">
        <v>113</v>
      </c>
      <c r="P36" s="66"/>
      <c r="Q36" s="66"/>
      <c r="R36" s="66"/>
      <c r="S36" s="67"/>
      <c r="T36" s="104">
        <f t="shared" si="4"/>
        <v>0.4375</v>
      </c>
      <c r="U36" s="101">
        <f t="shared" si="4"/>
        <v>0.79166666666666663</v>
      </c>
      <c r="V36" s="102">
        <f t="shared" si="5"/>
        <v>0.31249999999999989</v>
      </c>
      <c r="W36" s="102" t="str">
        <f>IFERROR(FLOOR(K36,TIME(0,VLOOKUP($C$3,#REF!,22,0),0)),"")</f>
        <v/>
      </c>
      <c r="X36" s="105"/>
      <c r="Y36" s="147"/>
      <c r="Z36" s="148"/>
      <c r="AA36" s="148"/>
      <c r="AB36" s="148"/>
      <c r="AC36" s="148"/>
      <c r="AD36" s="148"/>
      <c r="AE36" s="148"/>
      <c r="AF36" s="148"/>
      <c r="AG36" s="149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8">
        <f t="shared" si="6"/>
        <v>45765</v>
      </c>
      <c r="D37" s="99" t="str">
        <f t="shared" si="1"/>
        <v>金</v>
      </c>
      <c r="E37" s="100">
        <v>0.4375</v>
      </c>
      <c r="F37" s="101">
        <v>0.79166666666666663</v>
      </c>
      <c r="G37" s="102">
        <v>0.54166666666666663</v>
      </c>
      <c r="H37" s="102" t="s">
        <v>36</v>
      </c>
      <c r="I37" s="103">
        <v>0.58333333333333337</v>
      </c>
      <c r="J37" s="104">
        <f t="shared" si="2"/>
        <v>4.1666666666666741E-2</v>
      </c>
      <c r="K37" s="102">
        <f t="shared" si="3"/>
        <v>0.31249999999999989</v>
      </c>
      <c r="L37" s="102"/>
      <c r="M37" s="142"/>
      <c r="N37" s="99"/>
      <c r="O37" s="153" t="s">
        <v>113</v>
      </c>
      <c r="P37" s="66"/>
      <c r="Q37" s="66"/>
      <c r="R37" s="66"/>
      <c r="S37" s="67"/>
      <c r="T37" s="104">
        <f t="shared" si="4"/>
        <v>0.4375</v>
      </c>
      <c r="U37" s="101">
        <f t="shared" si="4"/>
        <v>0.79166666666666663</v>
      </c>
      <c r="V37" s="102">
        <f t="shared" si="5"/>
        <v>0.31249999999999989</v>
      </c>
      <c r="W37" s="102" t="str">
        <f>IFERROR(FLOOR(K37,TIME(0,VLOOKUP($C$3,#REF!,22,0),0)),"")</f>
        <v/>
      </c>
      <c r="X37" s="105"/>
      <c r="Y37" s="147"/>
      <c r="Z37" s="148"/>
      <c r="AA37" s="148"/>
      <c r="AB37" s="148"/>
      <c r="AC37" s="148"/>
      <c r="AD37" s="148"/>
      <c r="AE37" s="148"/>
      <c r="AF37" s="148"/>
      <c r="AG37" s="149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8">
        <f t="shared" si="6"/>
        <v>45766</v>
      </c>
      <c r="D38" s="99" t="str">
        <f t="shared" si="1"/>
        <v>土</v>
      </c>
      <c r="E38" s="100"/>
      <c r="F38" s="101"/>
      <c r="G38" s="102"/>
      <c r="H38" s="102"/>
      <c r="I38" s="103"/>
      <c r="J38" s="104"/>
      <c r="K38" s="102"/>
      <c r="L38" s="102"/>
      <c r="M38" s="141"/>
      <c r="N38" s="99"/>
      <c r="O38" s="153"/>
      <c r="P38" s="66"/>
      <c r="Q38" s="66"/>
      <c r="R38" s="66"/>
      <c r="S38" s="67"/>
      <c r="T38" s="104"/>
      <c r="U38" s="101"/>
      <c r="V38" s="102"/>
      <c r="W38" s="102" t="str">
        <f>IFERROR(FLOOR(K38,TIME(0,VLOOKUP($C$3,#REF!,22,0),0)),"")</f>
        <v/>
      </c>
      <c r="X38" s="105"/>
      <c r="Y38" s="147"/>
      <c r="Z38" s="148"/>
      <c r="AA38" s="148"/>
      <c r="AB38" s="148"/>
      <c r="AC38" s="148"/>
      <c r="AD38" s="148"/>
      <c r="AE38" s="148"/>
      <c r="AF38" s="148"/>
      <c r="AG38" s="149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8">
        <f t="shared" si="6"/>
        <v>45767</v>
      </c>
      <c r="D39" s="99" t="str">
        <f t="shared" si="1"/>
        <v>日</v>
      </c>
      <c r="E39" s="100"/>
      <c r="F39" s="101"/>
      <c r="G39" s="102"/>
      <c r="H39" s="102"/>
      <c r="I39" s="103"/>
      <c r="J39" s="104"/>
      <c r="K39" s="102"/>
      <c r="L39" s="102"/>
      <c r="M39" s="141"/>
      <c r="N39" s="143"/>
      <c r="O39" s="153"/>
      <c r="P39" s="66"/>
      <c r="Q39" s="66"/>
      <c r="R39" s="66"/>
      <c r="S39" s="67"/>
      <c r="T39" s="104"/>
      <c r="U39" s="101"/>
      <c r="V39" s="102"/>
      <c r="W39" s="102"/>
      <c r="X39" s="105"/>
      <c r="Y39" s="147"/>
      <c r="Z39" s="148"/>
      <c r="AA39" s="148"/>
      <c r="AB39" s="148"/>
      <c r="AC39" s="148"/>
      <c r="AD39" s="148"/>
      <c r="AE39" s="148"/>
      <c r="AF39" s="148"/>
      <c r="AG39" s="149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8">
        <f t="shared" si="6"/>
        <v>45768</v>
      </c>
      <c r="D40" s="99" t="str">
        <f t="shared" si="1"/>
        <v>月</v>
      </c>
      <c r="E40" s="100">
        <v>0.4375</v>
      </c>
      <c r="F40" s="101">
        <v>0.79166666666666663</v>
      </c>
      <c r="G40" s="102">
        <v>0.54166666666666663</v>
      </c>
      <c r="H40" s="102" t="s">
        <v>36</v>
      </c>
      <c r="I40" s="103">
        <v>0.58333333333333337</v>
      </c>
      <c r="J40" s="104">
        <f t="shared" si="2"/>
        <v>4.1666666666666741E-2</v>
      </c>
      <c r="K40" s="102">
        <f t="shared" si="3"/>
        <v>0.31249999999999989</v>
      </c>
      <c r="L40" s="102"/>
      <c r="M40" s="141"/>
      <c r="N40" s="99"/>
      <c r="O40" s="153" t="s">
        <v>113</v>
      </c>
      <c r="P40" s="66"/>
      <c r="Q40" s="66"/>
      <c r="R40" s="66"/>
      <c r="S40" s="67"/>
      <c r="T40" s="104">
        <f t="shared" si="4"/>
        <v>0.4375</v>
      </c>
      <c r="U40" s="101">
        <f t="shared" si="4"/>
        <v>0.79166666666666663</v>
      </c>
      <c r="V40" s="102">
        <f t="shared" si="5"/>
        <v>0.31249999999999989</v>
      </c>
      <c r="W40" s="102"/>
      <c r="X40" s="105"/>
      <c r="Y40" s="147"/>
      <c r="Z40" s="148"/>
      <c r="AA40" s="148"/>
      <c r="AB40" s="148"/>
      <c r="AC40" s="148"/>
      <c r="AD40" s="148"/>
      <c r="AE40" s="148"/>
      <c r="AF40" s="148"/>
      <c r="AG40" s="149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8">
        <f t="shared" si="6"/>
        <v>45769</v>
      </c>
      <c r="D41" s="99" t="str">
        <f t="shared" si="1"/>
        <v>火</v>
      </c>
      <c r="E41" s="100">
        <v>0.4375</v>
      </c>
      <c r="F41" s="101">
        <v>0.79166666666666663</v>
      </c>
      <c r="G41" s="102">
        <v>0.54166666666666663</v>
      </c>
      <c r="H41" s="102" t="s">
        <v>36</v>
      </c>
      <c r="I41" s="103">
        <v>0.58333333333333337</v>
      </c>
      <c r="J41" s="104">
        <f t="shared" si="2"/>
        <v>4.1666666666666741E-2</v>
      </c>
      <c r="K41" s="102">
        <f t="shared" si="3"/>
        <v>0.31249999999999989</v>
      </c>
      <c r="L41" s="102"/>
      <c r="M41" s="141"/>
      <c r="N41" s="99"/>
      <c r="O41" s="153" t="s">
        <v>113</v>
      </c>
      <c r="P41" s="66"/>
      <c r="Q41" s="66"/>
      <c r="R41" s="66"/>
      <c r="S41" s="67"/>
      <c r="T41" s="104">
        <f t="shared" si="4"/>
        <v>0.4375</v>
      </c>
      <c r="U41" s="101">
        <f t="shared" si="4"/>
        <v>0.79166666666666663</v>
      </c>
      <c r="V41" s="102">
        <f t="shared" si="5"/>
        <v>0.31249999999999989</v>
      </c>
      <c r="W41" s="102"/>
      <c r="X41" s="105"/>
      <c r="Y41" s="147"/>
      <c r="Z41" s="148"/>
      <c r="AA41" s="148"/>
      <c r="AB41" s="148"/>
      <c r="AC41" s="148"/>
      <c r="AD41" s="148"/>
      <c r="AE41" s="148"/>
      <c r="AF41" s="148"/>
      <c r="AG41" s="149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8">
        <f t="shared" si="6"/>
        <v>45770</v>
      </c>
      <c r="D42" s="99" t="str">
        <f t="shared" si="1"/>
        <v>水</v>
      </c>
      <c r="E42" s="100">
        <v>0.4375</v>
      </c>
      <c r="F42" s="101">
        <v>0.79166666666666663</v>
      </c>
      <c r="G42" s="102">
        <v>0.54166666666666663</v>
      </c>
      <c r="H42" s="102" t="s">
        <v>36</v>
      </c>
      <c r="I42" s="103">
        <v>0.58333333333333337</v>
      </c>
      <c r="J42" s="104">
        <f t="shared" si="2"/>
        <v>4.1666666666666741E-2</v>
      </c>
      <c r="K42" s="102">
        <f t="shared" si="3"/>
        <v>0.31249999999999989</v>
      </c>
      <c r="L42" s="102"/>
      <c r="M42" s="141"/>
      <c r="N42" s="99"/>
      <c r="O42" s="153" t="s">
        <v>113</v>
      </c>
      <c r="P42" s="66"/>
      <c r="Q42" s="66"/>
      <c r="R42" s="66"/>
      <c r="S42" s="67"/>
      <c r="T42" s="104">
        <f t="shared" si="4"/>
        <v>0.4375</v>
      </c>
      <c r="U42" s="101">
        <f t="shared" si="4"/>
        <v>0.79166666666666663</v>
      </c>
      <c r="V42" s="102">
        <f t="shared" si="5"/>
        <v>0.31249999999999989</v>
      </c>
      <c r="W42" s="102" t="str">
        <f>IFERROR(FLOOR(K42,TIME(0,VLOOKUP($C$3,#REF!,22,0),0)),"")</f>
        <v/>
      </c>
      <c r="X42" s="105"/>
      <c r="Y42" s="147"/>
      <c r="Z42" s="148"/>
      <c r="AA42" s="148"/>
      <c r="AB42" s="148"/>
      <c r="AC42" s="148"/>
      <c r="AD42" s="148"/>
      <c r="AE42" s="148"/>
      <c r="AF42" s="148"/>
      <c r="AG42" s="149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8">
        <f t="shared" si="6"/>
        <v>45771</v>
      </c>
      <c r="D43" s="99" t="str">
        <f t="shared" si="1"/>
        <v>木</v>
      </c>
      <c r="E43" s="100">
        <v>0.4375</v>
      </c>
      <c r="F43" s="101">
        <v>0.79166666666666663</v>
      </c>
      <c r="G43" s="102">
        <v>0.54166666666666663</v>
      </c>
      <c r="H43" s="102" t="s">
        <v>36</v>
      </c>
      <c r="I43" s="103">
        <v>0.58333333333333337</v>
      </c>
      <c r="J43" s="104">
        <f t="shared" si="2"/>
        <v>4.1666666666666741E-2</v>
      </c>
      <c r="K43" s="102">
        <f t="shared" si="3"/>
        <v>0.31249999999999989</v>
      </c>
      <c r="L43" s="102"/>
      <c r="M43" s="141"/>
      <c r="N43" s="99"/>
      <c r="O43" s="153" t="s">
        <v>113</v>
      </c>
      <c r="P43" s="66"/>
      <c r="Q43" s="66"/>
      <c r="R43" s="66"/>
      <c r="S43" s="67"/>
      <c r="T43" s="104">
        <f t="shared" si="4"/>
        <v>0.4375</v>
      </c>
      <c r="U43" s="101">
        <f t="shared" si="4"/>
        <v>0.79166666666666663</v>
      </c>
      <c r="V43" s="102">
        <f t="shared" si="5"/>
        <v>0.31249999999999989</v>
      </c>
      <c r="W43" s="102" t="str">
        <f>IFERROR(FLOOR(K43,TIME(0,VLOOKUP($C$3,#REF!,22,0),0)),"")</f>
        <v/>
      </c>
      <c r="X43" s="105"/>
      <c r="Y43" s="147"/>
      <c r="Z43" s="148"/>
      <c r="AA43" s="148"/>
      <c r="AB43" s="148"/>
      <c r="AC43" s="148"/>
      <c r="AD43" s="148"/>
      <c r="AE43" s="148"/>
      <c r="AF43" s="148"/>
      <c r="AG43" s="149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8">
        <f t="shared" si="6"/>
        <v>45772</v>
      </c>
      <c r="D44" s="99" t="str">
        <f t="shared" si="1"/>
        <v>金</v>
      </c>
      <c r="E44" s="100">
        <v>0.4375</v>
      </c>
      <c r="F44" s="101">
        <v>0.79166666666666663</v>
      </c>
      <c r="G44" s="102">
        <v>0.54166666666666663</v>
      </c>
      <c r="H44" s="102" t="s">
        <v>36</v>
      </c>
      <c r="I44" s="103">
        <v>0.58333333333333337</v>
      </c>
      <c r="J44" s="104">
        <f t="shared" si="2"/>
        <v>4.1666666666666741E-2</v>
      </c>
      <c r="K44" s="102">
        <f t="shared" si="3"/>
        <v>0.31249999999999989</v>
      </c>
      <c r="L44" s="102"/>
      <c r="M44" s="141"/>
      <c r="N44" s="99"/>
      <c r="O44" s="153" t="s">
        <v>113</v>
      </c>
      <c r="P44" s="66"/>
      <c r="Q44" s="66"/>
      <c r="R44" s="66"/>
      <c r="S44" s="67"/>
      <c r="T44" s="104">
        <f t="shared" si="4"/>
        <v>0.4375</v>
      </c>
      <c r="U44" s="101">
        <f t="shared" si="4"/>
        <v>0.79166666666666663</v>
      </c>
      <c r="V44" s="102">
        <f t="shared" si="5"/>
        <v>0.31249999999999989</v>
      </c>
      <c r="W44" s="102"/>
      <c r="X44" s="105"/>
      <c r="Y44" s="147"/>
      <c r="Z44" s="148"/>
      <c r="AA44" s="148"/>
      <c r="AB44" s="148"/>
      <c r="AC44" s="148"/>
      <c r="AD44" s="148"/>
      <c r="AE44" s="148"/>
      <c r="AF44" s="148"/>
      <c r="AG44" s="149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8">
        <f t="shared" si="6"/>
        <v>45773</v>
      </c>
      <c r="D45" s="99" t="str">
        <f t="shared" si="1"/>
        <v>土</v>
      </c>
      <c r="E45" s="100"/>
      <c r="F45" s="101"/>
      <c r="G45" s="102"/>
      <c r="H45" s="102"/>
      <c r="I45" s="103"/>
      <c r="J45" s="104"/>
      <c r="K45" s="102"/>
      <c r="L45" s="102"/>
      <c r="M45" s="141"/>
      <c r="N45" s="99"/>
      <c r="O45" s="153"/>
      <c r="P45" s="66"/>
      <c r="Q45" s="66"/>
      <c r="R45" s="66"/>
      <c r="S45" s="67"/>
      <c r="T45" s="104"/>
      <c r="U45" s="101"/>
      <c r="V45" s="102"/>
      <c r="W45" s="102" t="str">
        <f>IFERROR(FLOOR(K45,TIME(0,VLOOKUP($C$3,#REF!,22,0),0)),"")</f>
        <v/>
      </c>
      <c r="X45" s="105"/>
      <c r="Y45" s="147"/>
      <c r="Z45" s="148"/>
      <c r="AA45" s="148"/>
      <c r="AB45" s="148"/>
      <c r="AC45" s="148"/>
      <c r="AD45" s="148"/>
      <c r="AE45" s="148"/>
      <c r="AF45" s="148"/>
      <c r="AG45" s="149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8">
        <f t="shared" si="6"/>
        <v>45774</v>
      </c>
      <c r="D46" s="99" t="str">
        <f t="shared" si="1"/>
        <v>日</v>
      </c>
      <c r="E46" s="100"/>
      <c r="F46" s="101"/>
      <c r="G46" s="102"/>
      <c r="H46" s="102"/>
      <c r="I46" s="103"/>
      <c r="J46" s="104"/>
      <c r="K46" s="102"/>
      <c r="L46" s="102"/>
      <c r="M46" s="141"/>
      <c r="N46" s="99"/>
      <c r="O46" s="153"/>
      <c r="P46" s="66"/>
      <c r="Q46" s="66"/>
      <c r="R46" s="66"/>
      <c r="S46" s="67"/>
      <c r="T46" s="104"/>
      <c r="U46" s="101"/>
      <c r="V46" s="102"/>
      <c r="W46" s="102" t="str">
        <f>IFERROR(FLOOR(K46,TIME(0,VLOOKUP($C$3,#REF!,22,0),0)),"")</f>
        <v/>
      </c>
      <c r="X46" s="105"/>
      <c r="Y46" s="147"/>
      <c r="Z46" s="148"/>
      <c r="AA46" s="148"/>
      <c r="AB46" s="148"/>
      <c r="AC46" s="148"/>
      <c r="AD46" s="148"/>
      <c r="AE46" s="148"/>
      <c r="AF46" s="148"/>
      <c r="AG46" s="149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8">
        <f t="shared" si="6"/>
        <v>45775</v>
      </c>
      <c r="D47" s="99" t="str">
        <f t="shared" si="1"/>
        <v>月</v>
      </c>
      <c r="E47" s="100">
        <v>0.4375</v>
      </c>
      <c r="F47" s="101">
        <v>0.79166666666666663</v>
      </c>
      <c r="G47" s="102">
        <v>0.54166666666666663</v>
      </c>
      <c r="H47" s="102" t="s">
        <v>36</v>
      </c>
      <c r="I47" s="103">
        <v>0.58333333333333337</v>
      </c>
      <c r="J47" s="104">
        <f t="shared" si="2"/>
        <v>4.1666666666666741E-2</v>
      </c>
      <c r="K47" s="102">
        <f t="shared" si="3"/>
        <v>0.31249999999999989</v>
      </c>
      <c r="L47" s="102"/>
      <c r="M47" s="141"/>
      <c r="N47" s="99"/>
      <c r="O47" s="153" t="s">
        <v>113</v>
      </c>
      <c r="P47" s="66"/>
      <c r="Q47" s="66"/>
      <c r="R47" s="66"/>
      <c r="S47" s="67"/>
      <c r="T47" s="104">
        <f t="shared" si="4"/>
        <v>0.4375</v>
      </c>
      <c r="U47" s="101">
        <f t="shared" si="4"/>
        <v>0.79166666666666663</v>
      </c>
      <c r="V47" s="102">
        <f t="shared" si="5"/>
        <v>0.31249999999999989</v>
      </c>
      <c r="W47" s="102" t="str">
        <f>IFERROR(FLOOR(K47,TIME(0,VLOOKUP($C$3,#REF!,22,0),0)),"")</f>
        <v/>
      </c>
      <c r="X47" s="105"/>
      <c r="Y47" s="147"/>
      <c r="Z47" s="148"/>
      <c r="AA47" s="148"/>
      <c r="AB47" s="148"/>
      <c r="AC47" s="148"/>
      <c r="AD47" s="148"/>
      <c r="AE47" s="148"/>
      <c r="AF47" s="148"/>
      <c r="AG47" s="149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270">
        <f t="shared" si="6"/>
        <v>45776</v>
      </c>
      <c r="D48" s="266" t="str">
        <f t="shared" si="1"/>
        <v>火</v>
      </c>
      <c r="E48" s="260"/>
      <c r="F48" s="261"/>
      <c r="G48" s="262"/>
      <c r="H48" s="262"/>
      <c r="I48" s="263"/>
      <c r="J48" s="264"/>
      <c r="K48" s="262"/>
      <c r="L48" s="262"/>
      <c r="M48" s="265"/>
      <c r="N48" s="266"/>
      <c r="O48" s="267" t="s">
        <v>120</v>
      </c>
      <c r="P48" s="268"/>
      <c r="Q48" s="268"/>
      <c r="R48" s="268"/>
      <c r="S48" s="269"/>
      <c r="T48" s="264"/>
      <c r="U48" s="261"/>
      <c r="V48" s="262"/>
      <c r="W48" s="262"/>
      <c r="X48" s="105"/>
      <c r="Y48" s="147"/>
      <c r="Z48" s="148"/>
      <c r="AA48" s="148"/>
      <c r="AB48" s="148"/>
      <c r="AC48" s="148"/>
      <c r="AD48" s="148"/>
      <c r="AE48" s="148"/>
      <c r="AF48" s="148"/>
      <c r="AG48" s="149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8">
        <f t="shared" si="6"/>
        <v>45777</v>
      </c>
      <c r="D49" s="99" t="str">
        <f t="shared" si="1"/>
        <v>水</v>
      </c>
      <c r="E49" s="100">
        <v>0.4375</v>
      </c>
      <c r="F49" s="101">
        <v>0.79166666666666663</v>
      </c>
      <c r="G49" s="102">
        <v>0.54166666666666663</v>
      </c>
      <c r="H49" s="102" t="s">
        <v>36</v>
      </c>
      <c r="I49" s="103">
        <v>0.58333333333333337</v>
      </c>
      <c r="J49" s="104">
        <f t="shared" si="2"/>
        <v>4.1666666666666741E-2</v>
      </c>
      <c r="K49" s="102">
        <f t="shared" si="3"/>
        <v>0.31249999999999989</v>
      </c>
      <c r="L49" s="102"/>
      <c r="M49" s="141"/>
      <c r="N49" s="99"/>
      <c r="O49" s="153" t="s">
        <v>113</v>
      </c>
      <c r="P49" s="66"/>
      <c r="Q49" s="66"/>
      <c r="R49" s="66"/>
      <c r="S49" s="67"/>
      <c r="T49" s="104">
        <f t="shared" si="4"/>
        <v>0.4375</v>
      </c>
      <c r="U49" s="101">
        <f t="shared" si="4"/>
        <v>0.79166666666666663</v>
      </c>
      <c r="V49" s="102">
        <f t="shared" si="5"/>
        <v>0.31249999999999989</v>
      </c>
      <c r="W49" s="102"/>
      <c r="X49" s="105"/>
      <c r="Y49" s="147"/>
      <c r="Z49" s="148"/>
      <c r="AA49" s="148"/>
      <c r="AB49" s="148"/>
      <c r="AC49" s="148"/>
      <c r="AD49" s="148"/>
      <c r="AE49" s="148"/>
      <c r="AF49" s="148"/>
      <c r="AG49" s="149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8" t="str">
        <f t="shared" si="6"/>
        <v/>
      </c>
      <c r="D50" s="99" t="str">
        <f t="shared" si="1"/>
        <v/>
      </c>
      <c r="E50" s="100"/>
      <c r="F50" s="101"/>
      <c r="G50" s="102"/>
      <c r="H50" s="102"/>
      <c r="I50" s="103"/>
      <c r="J50" s="104"/>
      <c r="K50" s="102"/>
      <c r="L50" s="102"/>
      <c r="M50" s="141"/>
      <c r="N50" s="99"/>
      <c r="O50" s="153"/>
      <c r="P50" s="88"/>
      <c r="Q50" s="88"/>
      <c r="R50" s="88"/>
      <c r="S50" s="106"/>
      <c r="T50" s="104"/>
      <c r="U50" s="101"/>
      <c r="V50" s="102"/>
      <c r="W50" s="102"/>
      <c r="X50" s="105"/>
      <c r="Y50" s="150"/>
      <c r="Z50" s="151"/>
      <c r="AA50" s="151"/>
      <c r="AB50" s="151"/>
      <c r="AC50" s="151"/>
      <c r="AD50" s="151"/>
      <c r="AE50" s="151"/>
      <c r="AF50" s="151"/>
      <c r="AG50" s="152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07">
        <f t="shared" ref="J51:N51" si="8">SUM(J20:J50)</f>
        <v>0.87500000000000155</v>
      </c>
      <c r="K51" s="107">
        <f t="shared" si="8"/>
        <v>6.5624999999999991</v>
      </c>
      <c r="L51" s="107">
        <f t="shared" si="8"/>
        <v>0</v>
      </c>
      <c r="M51" s="107">
        <f t="shared" si="8"/>
        <v>0</v>
      </c>
      <c r="N51" s="107">
        <f t="shared" si="8"/>
        <v>0</v>
      </c>
      <c r="O51" s="153"/>
      <c r="T51" s="61"/>
      <c r="U51" s="61"/>
      <c r="V51" s="107">
        <f t="shared" ref="V51:W51" si="9">SUM(V20:V50)</f>
        <v>6.5624999999999991</v>
      </c>
      <c r="W51" s="107">
        <f t="shared" si="9"/>
        <v>0</v>
      </c>
      <c r="X51" s="105"/>
      <c r="Y51" s="108"/>
      <c r="Z51" s="108"/>
      <c r="AA51" s="108"/>
      <c r="AB51" s="108"/>
      <c r="AC51" s="108"/>
      <c r="AD51" s="108"/>
      <c r="AE51" s="108"/>
      <c r="AF51" s="108"/>
      <c r="AG51" s="109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6:I50 F20:F49 H20:H50">
    <cfRule type="expression" dxfId="2" priority="2">
      <formula>$A20=1</formula>
    </cfRule>
  </conditionalFormatting>
  <conditionalFormatting sqref="C20:W20 C21:I23 J21:W42 C24:F25 J43:N50 P43:W50 E20:E49 J20:K50 O20:O51 T20:V50">
    <cfRule type="expression" dxfId="1" priority="3">
      <formula>$A20=1</formula>
    </cfRule>
  </conditionalFormatting>
  <conditionalFormatting sqref="E20:K50">
    <cfRule type="expression" dxfId="0" priority="1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8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0.35416666666666669</v>
      </c>
      <c r="P8" s="23" t="s">
        <v>36</v>
      </c>
      <c r="Q8" s="24">
        <v>0.72916666666666663</v>
      </c>
      <c r="R8" s="244">
        <v>4.1666666666666664E-2</v>
      </c>
      <c r="S8" s="245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26"/>
      <c r="P9" s="27" t="s">
        <v>36</v>
      </c>
      <c r="Q9" s="28"/>
      <c r="R9" s="246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6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6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6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6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6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6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3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6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6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6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6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6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6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6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6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6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6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6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6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3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6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5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0.375</v>
      </c>
      <c r="P8" s="23" t="s">
        <v>36</v>
      </c>
      <c r="Q8" s="47">
        <v>0.72916666666666663</v>
      </c>
      <c r="R8" s="244">
        <v>4.1666666666666664E-2</v>
      </c>
      <c r="S8" s="245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6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4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>
        <v>0.39583333333333331</v>
      </c>
      <c r="P8" s="23" t="s">
        <v>36</v>
      </c>
      <c r="Q8" s="47">
        <v>0.75</v>
      </c>
      <c r="R8" s="244">
        <v>4.1666666666666664E-2</v>
      </c>
      <c r="S8" s="245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3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56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6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39" t="s">
        <v>18</v>
      </c>
      <c r="D1" s="235"/>
      <c r="E1" s="235"/>
      <c r="F1" s="235"/>
      <c r="G1" s="235"/>
      <c r="H1" s="235"/>
      <c r="I1" s="235"/>
      <c r="J1" s="235"/>
      <c r="K1" s="235"/>
      <c r="L1" s="8"/>
      <c r="M1" s="240" t="s">
        <v>19</v>
      </c>
      <c r="N1" s="235"/>
      <c r="O1" s="240" t="e">
        <f>#REF!</f>
        <v>#REF!</v>
      </c>
      <c r="P1" s="235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41" t="s">
        <v>23</v>
      </c>
      <c r="R2" s="235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27" t="s">
        <v>24</v>
      </c>
      <c r="D3" s="224"/>
      <c r="E3" s="224"/>
      <c r="F3" s="242" t="e">
        <f>VLOOKUP($C$2,#REF!,4,0)</f>
        <v>#REF!</v>
      </c>
      <c r="G3" s="224"/>
      <c r="H3" s="224"/>
      <c r="I3" s="224"/>
      <c r="J3" s="224"/>
      <c r="K3" s="224"/>
      <c r="L3" s="224"/>
      <c r="M3" s="224"/>
      <c r="N3" s="227" t="s">
        <v>25</v>
      </c>
      <c r="O3" s="224"/>
      <c r="P3" s="224"/>
      <c r="Q3" s="243"/>
      <c r="R3" s="224"/>
      <c r="S3" s="225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28" t="s">
        <v>26</v>
      </c>
      <c r="D4" s="229"/>
      <c r="E4" s="229"/>
      <c r="F4" s="242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5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27" t="s">
        <v>27</v>
      </c>
      <c r="D5" s="224"/>
      <c r="E5" s="224"/>
      <c r="F5" s="249"/>
      <c r="G5" s="224"/>
      <c r="H5" s="224"/>
      <c r="I5" s="224"/>
      <c r="J5" s="224"/>
      <c r="K5" s="224"/>
      <c r="L5" s="224"/>
      <c r="M5" s="225"/>
      <c r="N5" s="18" t="s">
        <v>28</v>
      </c>
      <c r="O5" s="242"/>
      <c r="P5" s="224"/>
      <c r="Q5" s="224"/>
      <c r="R5" s="224"/>
      <c r="S5" s="225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0" t="s">
        <v>29</v>
      </c>
      <c r="D6" s="229"/>
      <c r="E6" s="229"/>
      <c r="F6" s="250" t="s">
        <v>30</v>
      </c>
      <c r="G6" s="224"/>
      <c r="H6" s="224"/>
      <c r="I6" s="224"/>
      <c r="J6" s="224"/>
      <c r="K6" s="224"/>
      <c r="L6" s="224"/>
      <c r="M6" s="224"/>
      <c r="N6" s="18" t="s">
        <v>31</v>
      </c>
      <c r="O6" s="249"/>
      <c r="P6" s="224"/>
      <c r="Q6" s="225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31" t="s">
        <v>33</v>
      </c>
      <c r="D7" s="232"/>
      <c r="E7" s="233"/>
      <c r="F7" s="251"/>
      <c r="G7" s="232"/>
      <c r="H7" s="232"/>
      <c r="I7" s="232"/>
      <c r="J7" s="232"/>
      <c r="K7" s="232"/>
      <c r="L7" s="233"/>
      <c r="M7" s="231" t="s">
        <v>34</v>
      </c>
      <c r="N7" s="232"/>
      <c r="O7" s="242" t="s">
        <v>0</v>
      </c>
      <c r="P7" s="224"/>
      <c r="Q7" s="224"/>
      <c r="R7" s="242" t="s">
        <v>1</v>
      </c>
      <c r="S7" s="225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34"/>
      <c r="D8" s="235"/>
      <c r="E8" s="236"/>
      <c r="F8" s="234"/>
      <c r="G8" s="235"/>
      <c r="H8" s="235"/>
      <c r="I8" s="235"/>
      <c r="J8" s="235"/>
      <c r="K8" s="235"/>
      <c r="L8" s="236"/>
      <c r="M8" s="234"/>
      <c r="N8" s="235"/>
      <c r="O8" s="46"/>
      <c r="P8" s="23" t="s">
        <v>36</v>
      </c>
      <c r="Q8" s="47"/>
      <c r="R8" s="244"/>
      <c r="S8" s="245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37"/>
      <c r="D9" s="229"/>
      <c r="E9" s="238"/>
      <c r="F9" s="237"/>
      <c r="G9" s="229"/>
      <c r="H9" s="229"/>
      <c r="I9" s="229"/>
      <c r="J9" s="229"/>
      <c r="K9" s="229"/>
      <c r="L9" s="238"/>
      <c r="M9" s="234"/>
      <c r="N9" s="235"/>
      <c r="O9" s="48"/>
      <c r="P9" s="27" t="s">
        <v>36</v>
      </c>
      <c r="Q9" s="49"/>
      <c r="R9" s="255"/>
      <c r="S9" s="247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31" t="s">
        <v>37</v>
      </c>
      <c r="D10" s="232"/>
      <c r="E10" s="233"/>
      <c r="F10" s="252" t="e">
        <f>VLOOKUP($C$2,#REF!,3,0)</f>
        <v>#REF!</v>
      </c>
      <c r="G10" s="232"/>
      <c r="H10" s="232"/>
      <c r="I10" s="232"/>
      <c r="J10" s="232"/>
      <c r="K10" s="232"/>
      <c r="L10" s="233"/>
      <c r="M10" s="234"/>
      <c r="N10" s="235"/>
      <c r="O10" s="242" t="s">
        <v>38</v>
      </c>
      <c r="P10" s="224"/>
      <c r="Q10" s="224"/>
      <c r="R10" s="225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37"/>
      <c r="D11" s="229"/>
      <c r="E11" s="238"/>
      <c r="F11" s="237"/>
      <c r="G11" s="229"/>
      <c r="H11" s="229"/>
      <c r="I11" s="229"/>
      <c r="J11" s="229"/>
      <c r="K11" s="229"/>
      <c r="L11" s="238"/>
      <c r="M11" s="234"/>
      <c r="N11" s="235"/>
      <c r="O11" s="242" t="s">
        <v>39</v>
      </c>
      <c r="P11" s="224"/>
      <c r="Q11" s="224"/>
      <c r="R11" s="225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53" t="s">
        <v>46</v>
      </c>
      <c r="H13" s="224"/>
      <c r="I13" s="225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54" t="s">
        <v>52</v>
      </c>
      <c r="P13" s="224"/>
      <c r="Q13" s="224"/>
      <c r="R13" s="224"/>
      <c r="S13" s="225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23"/>
      <c r="P14" s="224"/>
      <c r="Q14" s="224"/>
      <c r="R14" s="224"/>
      <c r="S14" s="225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23"/>
      <c r="P15" s="224"/>
      <c r="Q15" s="224"/>
      <c r="R15" s="224"/>
      <c r="S15" s="225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23"/>
      <c r="P16" s="224"/>
      <c r="Q16" s="224"/>
      <c r="R16" s="224"/>
      <c r="S16" s="225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23"/>
      <c r="P17" s="224"/>
      <c r="Q17" s="224"/>
      <c r="R17" s="224"/>
      <c r="S17" s="225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23"/>
      <c r="P18" s="224"/>
      <c r="Q18" s="224"/>
      <c r="R18" s="224"/>
      <c r="S18" s="225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23"/>
      <c r="P19" s="224"/>
      <c r="Q19" s="224"/>
      <c r="R19" s="224"/>
      <c r="S19" s="225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23"/>
      <c r="P20" s="224"/>
      <c r="Q20" s="224"/>
      <c r="R20" s="224"/>
      <c r="S20" s="225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23"/>
      <c r="P21" s="224"/>
      <c r="Q21" s="224"/>
      <c r="R21" s="224"/>
      <c r="S21" s="225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26"/>
      <c r="P22" s="224"/>
      <c r="Q22" s="224"/>
      <c r="R22" s="224"/>
      <c r="S22" s="225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23"/>
      <c r="P23" s="224"/>
      <c r="Q23" s="224"/>
      <c r="R23" s="224"/>
      <c r="S23" s="225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26"/>
      <c r="P24" s="224"/>
      <c r="Q24" s="224"/>
      <c r="R24" s="224"/>
      <c r="S24" s="225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23"/>
      <c r="P25" s="224"/>
      <c r="Q25" s="224"/>
      <c r="R25" s="224"/>
      <c r="S25" s="225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23"/>
      <c r="P26" s="224"/>
      <c r="Q26" s="224"/>
      <c r="R26" s="224"/>
      <c r="S26" s="225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23"/>
      <c r="P27" s="224"/>
      <c r="Q27" s="224"/>
      <c r="R27" s="224"/>
      <c r="S27" s="225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23"/>
      <c r="P28" s="224"/>
      <c r="Q28" s="224"/>
      <c r="R28" s="224"/>
      <c r="S28" s="225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23"/>
      <c r="P29" s="224"/>
      <c r="Q29" s="224"/>
      <c r="R29" s="224"/>
      <c r="S29" s="225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26"/>
      <c r="P30" s="224"/>
      <c r="Q30" s="224"/>
      <c r="R30" s="224"/>
      <c r="S30" s="225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23"/>
      <c r="P31" s="224"/>
      <c r="Q31" s="224"/>
      <c r="R31" s="224"/>
      <c r="S31" s="225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23"/>
      <c r="P32" s="224"/>
      <c r="Q32" s="224"/>
      <c r="R32" s="224"/>
      <c r="S32" s="225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23"/>
      <c r="P33" s="224"/>
      <c r="Q33" s="224"/>
      <c r="R33" s="224"/>
      <c r="S33" s="225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23"/>
      <c r="P34" s="224"/>
      <c r="Q34" s="224"/>
      <c r="R34" s="224"/>
      <c r="S34" s="225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23"/>
      <c r="P35" s="224"/>
      <c r="Q35" s="224"/>
      <c r="R35" s="224"/>
      <c r="S35" s="225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23"/>
      <c r="P36" s="224"/>
      <c r="Q36" s="224"/>
      <c r="R36" s="224"/>
      <c r="S36" s="225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23"/>
      <c r="P37" s="224"/>
      <c r="Q37" s="224"/>
      <c r="R37" s="224"/>
      <c r="S37" s="225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23"/>
      <c r="P38" s="224"/>
      <c r="Q38" s="224"/>
      <c r="R38" s="224"/>
      <c r="S38" s="225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23"/>
      <c r="P39" s="224"/>
      <c r="Q39" s="224"/>
      <c r="R39" s="224"/>
      <c r="S39" s="225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23"/>
      <c r="P40" s="224"/>
      <c r="Q40" s="224"/>
      <c r="R40" s="224"/>
      <c r="S40" s="225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23"/>
      <c r="P41" s="224"/>
      <c r="Q41" s="224"/>
      <c r="R41" s="224"/>
      <c r="S41" s="225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26"/>
      <c r="P42" s="224"/>
      <c r="Q42" s="224"/>
      <c r="R42" s="224"/>
      <c r="S42" s="225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23"/>
      <c r="P43" s="224"/>
      <c r="Q43" s="224"/>
      <c r="R43" s="224"/>
      <c r="S43" s="225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23"/>
      <c r="P44" s="224"/>
      <c r="Q44" s="224"/>
      <c r="R44" s="224"/>
      <c r="S44" s="225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57" t="s">
        <v>59</v>
      </c>
      <c r="B1" s="258"/>
      <c r="C1" s="259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2月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'2月'!Print_Area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2025-04-29T08:28:12Z</dcterms:modified>
</cp:coreProperties>
</file>